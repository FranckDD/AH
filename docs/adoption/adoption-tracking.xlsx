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eekly indicators" sheetId="2" state="visible" r:id="rId2"/>
    <sheet xmlns:r="http://schemas.openxmlformats.org/officeDocument/2006/relationships" name="Issues log" sheetId="3" state="visible" r:id="rId3"/>
    <sheet xmlns:r="http://schemas.openxmlformats.org/officeDocument/2006/relationships" name="Training attendance" sheetId="4" state="visible" r:id="rId4"/>
    <sheet xmlns:r="http://schemas.openxmlformats.org/officeDocument/2006/relationships" name="Go-No-go" sheetId="5" state="visible" r:id="rId5"/>
  </sheets>
  <definedNames>
    <definedName name="_xlnm.Print_Titles" localSheetId="1">'Weekly indicators'!$1:$1</definedName>
    <definedName name="_xlnm.Print_Area" localSheetId="1">'Weekly indicators'!$A$1:$O$74</definedName>
    <definedName name="_xlnm.Print_Titles" localSheetId="2">'Issues log'!$1:$1</definedName>
    <definedName name="_xlnm.Print_Area" localSheetId="2">'Issues log'!$A$1:$H$201</definedName>
    <definedName name="_xlnm.Print_Titles" localSheetId="3">'Training attendance'!$1:$1</definedName>
    <definedName name="_xlnm.Print_Area" localSheetId="3">'Training attendance'!$A$1:$M$151</definedName>
    <definedName name="_xlnm.Print_Titles" localSheetId="4">'Go-No-go'!$1:$1</definedName>
    <definedName name="_xlnm.Print_Area" localSheetId="4">'Go-No-go'!$A$1:$F$15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0F5E57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BE6"/>
      </patternFill>
    </fill>
    <fill>
      <patternFill patternType="solid">
        <fgColor rgb="000F5E57"/>
      </patternFill>
    </fill>
    <fill>
      <patternFill patternType="solid">
        <fgColor rgb="00EEF1F2"/>
      </patternFill>
    </fill>
  </fills>
  <borders count="2">
    <border>
      <left/>
      <right/>
      <top/>
      <bottom/>
      <diagonal/>
    </border>
    <border>
      <left style="thin">
        <color rgb="00C9D1D3"/>
      </left>
      <right style="thin">
        <color rgb="00C9D1D3"/>
      </right>
      <top style="thin">
        <color rgb="00C9D1D3"/>
      </top>
      <bottom style="thin">
        <color rgb="00C9D1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64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165" fontId="0" fillId="0" borderId="0" pivotButton="0" quotePrefix="0" xfId="0"/>
    <xf numFmtId="9" fontId="0" fillId="0" borderId="0" pivotButton="0" quotePrefix="0" xfId="0"/>
    <xf numFmtId="164" fontId="0" fillId="2" borderId="1" applyAlignment="1" pivotButton="0" quotePrefix="0" xfId="0">
      <alignment vertical="top" wrapText="1"/>
    </xf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0" customWidth="1" min="3" max="3"/>
  </cols>
  <sheetData>
    <row r="1">
      <c r="A1" s="1" t="inlineStr">
        <is>
          <t>Adoption tracking, Glostone-Care</t>
        </is>
      </c>
    </row>
    <row r="2" ht="32" customHeight="1">
      <c r="A2" s="2" t="inlineStr">
        <is>
          <t>1. Fill the yellow cells only. Each service fills one line per week in Weekly indicators. Log every problem in Issues log. Tick skills in Training attendance.</t>
        </is>
      </c>
    </row>
    <row r="3" ht="32" customHeight="1">
      <c r="A3" s="2" t="inlineStr">
        <is>
          <t>2. Read the sheets at the weekly 15-minute review. Update Go-No-go at the end of the pilot and of each extension.</t>
        </is>
      </c>
    </row>
    <row r="4" ht="32" customHeight="1">
      <c r="A4" s="2" t="inlineStr">
        <is>
          <t>3. Gray cells are formulas, do not type in them. Do not write patient names or patient data in this file.</t>
        </is>
      </c>
    </row>
    <row r="6">
      <c r="A6" s="3" t="inlineStr">
        <is>
          <t>Start date of week 1</t>
        </is>
      </c>
      <c r="B6" s="4" t="n"/>
      <c r="C6" t="inlineStr">
        <is>
          <t>Type the date, for example 2026-11-02</t>
        </is>
      </c>
    </row>
  </sheetData>
  <mergeCells count="3">
    <mergeCell ref="A4:H4"/>
    <mergeCell ref="A3:H3"/>
    <mergeCell ref="A2:H2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0" customWidth="1" min="4" max="4"/>
    <col width="14" customWidth="1" min="5" max="5"/>
    <col width="13" customWidth="1" min="6" max="6"/>
    <col width="13" customWidth="1" min="7" max="7"/>
    <col width="14" customWidth="1" min="8" max="8"/>
    <col width="10" customWidth="1" min="9" max="9"/>
    <col width="16" customWidth="1" min="10" max="10"/>
    <col width="13" customWidth="1" min="11" max="11"/>
    <col width="36" customWidth="1" min="12" max="12"/>
    <col width="10" customWidth="1" min="13" max="13"/>
    <col width="11" customWidth="1" min="14" max="14"/>
    <col width="15" customWidth="1" min="15" max="15"/>
  </cols>
  <sheetData>
    <row r="1" ht="45" customHeight="1">
      <c r="A1" s="5" t="inlineStr">
        <is>
          <t>Week no.</t>
        </is>
      </c>
      <c r="B1" s="5" t="inlineStr">
        <is>
          <t>Week start date</t>
        </is>
      </c>
      <c r="C1" s="5" t="inlineStr">
        <is>
          <t>Service</t>
        </is>
      </c>
      <c r="D1" s="5" t="inlineStr">
        <is>
          <t>Staff trained</t>
        </is>
      </c>
      <c r="E1" s="5" t="inlineStr">
        <is>
          <t>Staff using the system daily</t>
        </is>
      </c>
      <c r="F1" s="5" t="inlineStr">
        <is>
          <t>Records created in system</t>
        </is>
      </c>
      <c r="G1" s="5" t="inlineStr">
        <is>
          <t>Records still on paper only</t>
        </is>
      </c>
      <c r="H1" s="5" t="inlineStr">
        <is>
          <t>Sales or entries double-entered</t>
        </is>
      </c>
      <c r="I1" s="5" t="inlineStr">
        <is>
          <t>Incidents</t>
        </is>
      </c>
      <c r="J1" s="5" t="inlineStr">
        <is>
          <t>Average time of a standard task [minutes]</t>
        </is>
      </c>
      <c r="K1" s="5" t="inlineStr">
        <is>
          <t>Satisfaction (1 to 5)</t>
        </is>
      </c>
      <c r="L1" s="5" t="inlineStr">
        <is>
          <t>Notes</t>
        </is>
      </c>
      <c r="M1" s="5" t="inlineStr">
        <is>
          <t>Total records</t>
        </is>
      </c>
      <c r="N1" s="5" t="inlineStr">
        <is>
          <t>Percent in system</t>
        </is>
      </c>
      <c r="O1" s="5" t="inlineStr">
        <is>
          <t>Percent of trained staff using it daily</t>
        </is>
      </c>
    </row>
    <row r="2">
      <c r="A2" s="6" t="n">
        <v>1</v>
      </c>
      <c r="B2" s="7">
        <f>IF(Instructions!$B$6="","",Instructions!$B$6+7*(A2-1))</f>
        <v/>
      </c>
      <c r="C2" s="6" t="inlineStr">
        <is>
          <t>Reception and cash desk</t>
        </is>
      </c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9">
        <f>IF(AND(F2="",G2=""),"",N(F2)+N(G2))</f>
        <v/>
      </c>
      <c r="N2" s="10">
        <f>IF(N(M2)=0,"",F2/M2)</f>
        <v/>
      </c>
      <c r="O2" s="10">
        <f>IF(N(D2)=0,"",E2/D2)</f>
        <v/>
      </c>
    </row>
    <row r="3">
      <c r="A3" s="6" t="n">
        <v>1</v>
      </c>
      <c r="B3" s="7">
        <f>IF(Instructions!$B$6="","",Instructions!$B$6+7*(A3-1))</f>
        <v/>
      </c>
      <c r="C3" s="6" t="inlineStr">
        <is>
          <t>Nursing</t>
        </is>
      </c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9">
        <f>IF(AND(F3="",G3=""),"",N(F3)+N(G3))</f>
        <v/>
      </c>
      <c r="N3" s="10">
        <f>IF(N(M3)=0,"",F3/M3)</f>
        <v/>
      </c>
      <c r="O3" s="10">
        <f>IF(N(D3)=0,"",E3/D3)</f>
        <v/>
      </c>
    </row>
    <row r="4">
      <c r="A4" s="6" t="n">
        <v>1</v>
      </c>
      <c r="B4" s="7">
        <f>IF(Instructions!$B$6="","",Instructions!$B$6+7*(A4-1))</f>
        <v/>
      </c>
      <c r="C4" s="6" t="inlineStr">
        <is>
          <t>Medical (doctors)</t>
        </is>
      </c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9">
        <f>IF(AND(F4="",G4=""),"",N(F4)+N(G4))</f>
        <v/>
      </c>
      <c r="N4" s="10">
        <f>IF(N(M4)=0,"",F4/M4)</f>
        <v/>
      </c>
      <c r="O4" s="10">
        <f>IF(N(D4)=0,"",E4/D4)</f>
        <v/>
      </c>
    </row>
    <row r="5">
      <c r="A5" s="6" t="n">
        <v>1</v>
      </c>
      <c r="B5" s="7">
        <f>IF(Instructions!$B$6="","",Instructions!$B$6+7*(A5-1))</f>
        <v/>
      </c>
      <c r="C5" s="6" t="inlineStr">
        <is>
          <t>Laboratory</t>
        </is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9">
        <f>IF(AND(F5="",G5=""),"",N(F5)+N(G5))</f>
        <v/>
      </c>
      <c r="N5" s="10">
        <f>IF(N(M5)=0,"",F5/M5)</f>
        <v/>
      </c>
      <c r="O5" s="10">
        <f>IF(N(D5)=0,"",E5/D5)</f>
        <v/>
      </c>
    </row>
    <row r="6">
      <c r="A6" s="6" t="n">
        <v>1</v>
      </c>
      <c r="B6" s="7">
        <f>IF(Instructions!$B$6="","",Instructions!$B$6+7*(A6-1))</f>
        <v/>
      </c>
      <c r="C6" s="6" t="inlineStr">
        <is>
          <t>Pharmacy and stock</t>
        </is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9">
        <f>IF(AND(F6="",G6=""),"",N(F6)+N(G6))</f>
        <v/>
      </c>
      <c r="N6" s="10">
        <f>IF(N(M6)=0,"",F6/M6)</f>
        <v/>
      </c>
      <c r="O6" s="10">
        <f>IF(N(D6)=0,"",E6/D6)</f>
        <v/>
      </c>
    </row>
    <row r="7">
      <c r="A7" s="6" t="n">
        <v>1</v>
      </c>
      <c r="B7" s="7">
        <f>IF(Instructions!$B$6="","",Instructions!$B$6+7*(A7-1))</f>
        <v/>
      </c>
      <c r="C7" s="6" t="inlineStr">
        <is>
          <t>Production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9">
        <f>IF(AND(F7="",G7=""),"",N(F7)+N(G7))</f>
        <v/>
      </c>
      <c r="N7" s="10">
        <f>IF(N(M7)=0,"",F7/M7)</f>
        <v/>
      </c>
      <c r="O7" s="10">
        <f>IF(N(D7)=0,"",E7/D7)</f>
        <v/>
      </c>
    </row>
    <row r="8">
      <c r="A8" s="6" t="n">
        <v>1</v>
      </c>
      <c r="B8" s="7">
        <f>IF(Instructions!$B$6="","",Instructions!$B$6+7*(A8-1))</f>
        <v/>
      </c>
      <c r="C8" s="6" t="inlineStr">
        <is>
          <t>Toxicology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9">
        <f>IF(AND(F8="",G8=""),"",N(F8)+N(G8))</f>
        <v/>
      </c>
      <c r="N8" s="10">
        <f>IF(N(M8)=0,"",F8/M8)</f>
        <v/>
      </c>
      <c r="O8" s="10">
        <f>IF(N(D8)=0,"",E8/D8)</f>
        <v/>
      </c>
    </row>
    <row r="9">
      <c r="A9" s="6" t="n">
        <v>1</v>
      </c>
      <c r="B9" s="7">
        <f>IF(Instructions!$B$6="","",Instructions!$B$6+7*(A9-1))</f>
        <v/>
      </c>
      <c r="C9" s="6" t="inlineStr">
        <is>
          <t>Spiritual care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9">
        <f>IF(AND(F9="",G9=""),"",N(F9)+N(G9))</f>
        <v/>
      </c>
      <c r="N9" s="10">
        <f>IF(N(M9)=0,"",F9/M9)</f>
        <v/>
      </c>
      <c r="O9" s="10">
        <f>IF(N(D9)=0,"",E9/D9)</f>
        <v/>
      </c>
    </row>
    <row r="10">
      <c r="A10" s="6" t="n">
        <v>1</v>
      </c>
      <c r="B10" s="7">
        <f>IF(Instructions!$B$6="","",Instructions!$B$6+7*(A10-1))</f>
        <v/>
      </c>
      <c r="C10" s="6" t="inlineStr">
        <is>
          <t>Management and admin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9">
        <f>IF(AND(F10="",G10=""),"",N(F10)+N(G10))</f>
        <v/>
      </c>
      <c r="N10" s="10">
        <f>IF(N(M10)=0,"",F10/M10)</f>
        <v/>
      </c>
      <c r="O10" s="10">
        <f>IF(N(D10)=0,"",E10/D10)</f>
        <v/>
      </c>
    </row>
    <row r="11">
      <c r="A11" s="6" t="n">
        <v>2</v>
      </c>
      <c r="B11" s="7">
        <f>IF(Instructions!$B$6="","",Instructions!$B$6+7*(A11-1))</f>
        <v/>
      </c>
      <c r="C11" s="6" t="inlineStr">
        <is>
          <t>Reception and cash desk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9">
        <f>IF(AND(F11="",G11=""),"",N(F11)+N(G11))</f>
        <v/>
      </c>
      <c r="N11" s="10">
        <f>IF(N(M11)=0,"",F11/M11)</f>
        <v/>
      </c>
      <c r="O11" s="10">
        <f>IF(N(D11)=0,"",E11/D11)</f>
        <v/>
      </c>
    </row>
    <row r="12">
      <c r="A12" s="6" t="n">
        <v>2</v>
      </c>
      <c r="B12" s="7">
        <f>IF(Instructions!$B$6="","",Instructions!$B$6+7*(A12-1))</f>
        <v/>
      </c>
      <c r="C12" s="6" t="inlineStr">
        <is>
          <t>Nursing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9">
        <f>IF(AND(F12="",G12=""),"",N(F12)+N(G12))</f>
        <v/>
      </c>
      <c r="N12" s="10">
        <f>IF(N(M12)=0,"",F12/M12)</f>
        <v/>
      </c>
      <c r="O12" s="10">
        <f>IF(N(D12)=0,"",E12/D12)</f>
        <v/>
      </c>
    </row>
    <row r="13">
      <c r="A13" s="6" t="n">
        <v>2</v>
      </c>
      <c r="B13" s="7">
        <f>IF(Instructions!$B$6="","",Instructions!$B$6+7*(A13-1))</f>
        <v/>
      </c>
      <c r="C13" s="6" t="inlineStr">
        <is>
          <t>Medical (doctors)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9">
        <f>IF(AND(F13="",G13=""),"",N(F13)+N(G13))</f>
        <v/>
      </c>
      <c r="N13" s="10">
        <f>IF(N(M13)=0,"",F13/M13)</f>
        <v/>
      </c>
      <c r="O13" s="10">
        <f>IF(N(D13)=0,"",E13/D13)</f>
        <v/>
      </c>
    </row>
    <row r="14">
      <c r="A14" s="6" t="n">
        <v>2</v>
      </c>
      <c r="B14" s="7">
        <f>IF(Instructions!$B$6="","",Instructions!$B$6+7*(A14-1))</f>
        <v/>
      </c>
      <c r="C14" s="6" t="inlineStr">
        <is>
          <t>Laboratory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9">
        <f>IF(AND(F14="",G14=""),"",N(F14)+N(G14))</f>
        <v/>
      </c>
      <c r="N14" s="10">
        <f>IF(N(M14)=0,"",F14/M14)</f>
        <v/>
      </c>
      <c r="O14" s="10">
        <f>IF(N(D14)=0,"",E14/D14)</f>
        <v/>
      </c>
    </row>
    <row r="15">
      <c r="A15" s="6" t="n">
        <v>2</v>
      </c>
      <c r="B15" s="7">
        <f>IF(Instructions!$B$6="","",Instructions!$B$6+7*(A15-1))</f>
        <v/>
      </c>
      <c r="C15" s="6" t="inlineStr">
        <is>
          <t>Pharmacy and stock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9">
        <f>IF(AND(F15="",G15=""),"",N(F15)+N(G15))</f>
        <v/>
      </c>
      <c r="N15" s="10">
        <f>IF(N(M15)=0,"",F15/M15)</f>
        <v/>
      </c>
      <c r="O15" s="10">
        <f>IF(N(D15)=0,"",E15/D15)</f>
        <v/>
      </c>
    </row>
    <row r="16">
      <c r="A16" s="6" t="n">
        <v>2</v>
      </c>
      <c r="B16" s="7">
        <f>IF(Instructions!$B$6="","",Instructions!$B$6+7*(A16-1))</f>
        <v/>
      </c>
      <c r="C16" s="6" t="inlineStr">
        <is>
          <t>Production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9">
        <f>IF(AND(F16="",G16=""),"",N(F16)+N(G16))</f>
        <v/>
      </c>
      <c r="N16" s="10">
        <f>IF(N(M16)=0,"",F16/M16)</f>
        <v/>
      </c>
      <c r="O16" s="10">
        <f>IF(N(D16)=0,"",E16/D16)</f>
        <v/>
      </c>
    </row>
    <row r="17">
      <c r="A17" s="6" t="n">
        <v>2</v>
      </c>
      <c r="B17" s="7">
        <f>IF(Instructions!$B$6="","",Instructions!$B$6+7*(A17-1))</f>
        <v/>
      </c>
      <c r="C17" s="6" t="inlineStr">
        <is>
          <t>Toxicology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9">
        <f>IF(AND(F17="",G17=""),"",N(F17)+N(G17))</f>
        <v/>
      </c>
      <c r="N17" s="10">
        <f>IF(N(M17)=0,"",F17/M17)</f>
        <v/>
      </c>
      <c r="O17" s="10">
        <f>IF(N(D17)=0,"",E17/D17)</f>
        <v/>
      </c>
    </row>
    <row r="18">
      <c r="A18" s="6" t="n">
        <v>2</v>
      </c>
      <c r="B18" s="7">
        <f>IF(Instructions!$B$6="","",Instructions!$B$6+7*(A18-1))</f>
        <v/>
      </c>
      <c r="C18" s="6" t="inlineStr">
        <is>
          <t>Spiritual care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9">
        <f>IF(AND(F18="",G18=""),"",N(F18)+N(G18))</f>
        <v/>
      </c>
      <c r="N18" s="10">
        <f>IF(N(M18)=0,"",F18/M18)</f>
        <v/>
      </c>
      <c r="O18" s="10">
        <f>IF(N(D18)=0,"",E18/D18)</f>
        <v/>
      </c>
    </row>
    <row r="19">
      <c r="A19" s="6" t="n">
        <v>2</v>
      </c>
      <c r="B19" s="7">
        <f>IF(Instructions!$B$6="","",Instructions!$B$6+7*(A19-1))</f>
        <v/>
      </c>
      <c r="C19" s="6" t="inlineStr">
        <is>
          <t>Management and admin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9">
        <f>IF(AND(F19="",G19=""),"",N(F19)+N(G19))</f>
        <v/>
      </c>
      <c r="N19" s="10">
        <f>IF(N(M19)=0,"",F19/M19)</f>
        <v/>
      </c>
      <c r="O19" s="10">
        <f>IF(N(D19)=0,"",E19/D19)</f>
        <v/>
      </c>
    </row>
    <row r="20">
      <c r="A20" s="6" t="n">
        <v>3</v>
      </c>
      <c r="B20" s="7">
        <f>IF(Instructions!$B$6="","",Instructions!$B$6+7*(A20-1))</f>
        <v/>
      </c>
      <c r="C20" s="6" t="inlineStr">
        <is>
          <t>Reception and cash desk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9">
        <f>IF(AND(F20="",G20=""),"",N(F20)+N(G20))</f>
        <v/>
      </c>
      <c r="N20" s="10">
        <f>IF(N(M20)=0,"",F20/M20)</f>
        <v/>
      </c>
      <c r="O20" s="10">
        <f>IF(N(D20)=0,"",E20/D20)</f>
        <v/>
      </c>
    </row>
    <row r="21">
      <c r="A21" s="6" t="n">
        <v>3</v>
      </c>
      <c r="B21" s="7">
        <f>IF(Instructions!$B$6="","",Instructions!$B$6+7*(A21-1))</f>
        <v/>
      </c>
      <c r="C21" s="6" t="inlineStr">
        <is>
          <t>Nursing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9">
        <f>IF(AND(F21="",G21=""),"",N(F21)+N(G21))</f>
        <v/>
      </c>
      <c r="N21" s="10">
        <f>IF(N(M21)=0,"",F21/M21)</f>
        <v/>
      </c>
      <c r="O21" s="10">
        <f>IF(N(D21)=0,"",E21/D21)</f>
        <v/>
      </c>
    </row>
    <row r="22">
      <c r="A22" s="6" t="n">
        <v>3</v>
      </c>
      <c r="B22" s="7">
        <f>IF(Instructions!$B$6="","",Instructions!$B$6+7*(A22-1))</f>
        <v/>
      </c>
      <c r="C22" s="6" t="inlineStr">
        <is>
          <t>Medical (doctors)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9">
        <f>IF(AND(F22="",G22=""),"",N(F22)+N(G22))</f>
        <v/>
      </c>
      <c r="N22" s="10">
        <f>IF(N(M22)=0,"",F22/M22)</f>
        <v/>
      </c>
      <c r="O22" s="10">
        <f>IF(N(D22)=0,"",E22/D22)</f>
        <v/>
      </c>
    </row>
    <row r="23">
      <c r="A23" s="6" t="n">
        <v>3</v>
      </c>
      <c r="B23" s="7">
        <f>IF(Instructions!$B$6="","",Instructions!$B$6+7*(A23-1))</f>
        <v/>
      </c>
      <c r="C23" s="6" t="inlineStr">
        <is>
          <t>Laboratory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9">
        <f>IF(AND(F23="",G23=""),"",N(F23)+N(G23))</f>
        <v/>
      </c>
      <c r="N23" s="10">
        <f>IF(N(M23)=0,"",F23/M23)</f>
        <v/>
      </c>
      <c r="O23" s="10">
        <f>IF(N(D23)=0,"",E23/D23)</f>
        <v/>
      </c>
    </row>
    <row r="24">
      <c r="A24" s="6" t="n">
        <v>3</v>
      </c>
      <c r="B24" s="7">
        <f>IF(Instructions!$B$6="","",Instructions!$B$6+7*(A24-1))</f>
        <v/>
      </c>
      <c r="C24" s="6" t="inlineStr">
        <is>
          <t>Pharmacy and stock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9">
        <f>IF(AND(F24="",G24=""),"",N(F24)+N(G24))</f>
        <v/>
      </c>
      <c r="N24" s="10">
        <f>IF(N(M24)=0,"",F24/M24)</f>
        <v/>
      </c>
      <c r="O24" s="10">
        <f>IF(N(D24)=0,"",E24/D24)</f>
        <v/>
      </c>
    </row>
    <row r="25">
      <c r="A25" s="6" t="n">
        <v>3</v>
      </c>
      <c r="B25" s="7">
        <f>IF(Instructions!$B$6="","",Instructions!$B$6+7*(A25-1))</f>
        <v/>
      </c>
      <c r="C25" s="6" t="inlineStr">
        <is>
          <t>Production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9">
        <f>IF(AND(F25="",G25=""),"",N(F25)+N(G25))</f>
        <v/>
      </c>
      <c r="N25" s="10">
        <f>IF(N(M25)=0,"",F25/M25)</f>
        <v/>
      </c>
      <c r="O25" s="10">
        <f>IF(N(D25)=0,"",E25/D25)</f>
        <v/>
      </c>
    </row>
    <row r="26">
      <c r="A26" s="6" t="n">
        <v>3</v>
      </c>
      <c r="B26" s="7">
        <f>IF(Instructions!$B$6="","",Instructions!$B$6+7*(A26-1))</f>
        <v/>
      </c>
      <c r="C26" s="6" t="inlineStr">
        <is>
          <t>Toxicology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9">
        <f>IF(AND(F26="",G26=""),"",N(F26)+N(G26))</f>
        <v/>
      </c>
      <c r="N26" s="10">
        <f>IF(N(M26)=0,"",F26/M26)</f>
        <v/>
      </c>
      <c r="O26" s="10">
        <f>IF(N(D26)=0,"",E26/D26)</f>
        <v/>
      </c>
    </row>
    <row r="27">
      <c r="A27" s="6" t="n">
        <v>3</v>
      </c>
      <c r="B27" s="7">
        <f>IF(Instructions!$B$6="","",Instructions!$B$6+7*(A27-1))</f>
        <v/>
      </c>
      <c r="C27" s="6" t="inlineStr">
        <is>
          <t>Spiritual care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>
        <f>IF(AND(F27="",G27=""),"",N(F27)+N(G27))</f>
        <v/>
      </c>
      <c r="N27" s="10">
        <f>IF(N(M27)=0,"",F27/M27)</f>
        <v/>
      </c>
      <c r="O27" s="10">
        <f>IF(N(D27)=0,"",E27/D27)</f>
        <v/>
      </c>
    </row>
    <row r="28">
      <c r="A28" s="6" t="n">
        <v>3</v>
      </c>
      <c r="B28" s="7">
        <f>IF(Instructions!$B$6="","",Instructions!$B$6+7*(A28-1))</f>
        <v/>
      </c>
      <c r="C28" s="6" t="inlineStr">
        <is>
          <t>Management and admin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>
        <f>IF(AND(F28="",G28=""),"",N(F28)+N(G28))</f>
        <v/>
      </c>
      <c r="N28" s="10">
        <f>IF(N(M28)=0,"",F28/M28)</f>
        <v/>
      </c>
      <c r="O28" s="10">
        <f>IF(N(D28)=0,"",E28/D28)</f>
        <v/>
      </c>
    </row>
    <row r="29">
      <c r="A29" s="6" t="n">
        <v>4</v>
      </c>
      <c r="B29" s="7">
        <f>IF(Instructions!$B$6="","",Instructions!$B$6+7*(A29-1))</f>
        <v/>
      </c>
      <c r="C29" s="6" t="inlineStr">
        <is>
          <t>Reception and cash desk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9">
        <f>IF(AND(F29="",G29=""),"",N(F29)+N(G29))</f>
        <v/>
      </c>
      <c r="N29" s="10">
        <f>IF(N(M29)=0,"",F29/M29)</f>
        <v/>
      </c>
      <c r="O29" s="10">
        <f>IF(N(D29)=0,"",E29/D29)</f>
        <v/>
      </c>
    </row>
    <row r="30">
      <c r="A30" s="6" t="n">
        <v>4</v>
      </c>
      <c r="B30" s="7">
        <f>IF(Instructions!$B$6="","",Instructions!$B$6+7*(A30-1))</f>
        <v/>
      </c>
      <c r="C30" s="6" t="inlineStr">
        <is>
          <t>Nursing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9">
        <f>IF(AND(F30="",G30=""),"",N(F30)+N(G30))</f>
        <v/>
      </c>
      <c r="N30" s="10">
        <f>IF(N(M30)=0,"",F30/M30)</f>
        <v/>
      </c>
      <c r="O30" s="10">
        <f>IF(N(D30)=0,"",E30/D30)</f>
        <v/>
      </c>
    </row>
    <row r="31">
      <c r="A31" s="6" t="n">
        <v>4</v>
      </c>
      <c r="B31" s="7">
        <f>IF(Instructions!$B$6="","",Instructions!$B$6+7*(A31-1))</f>
        <v/>
      </c>
      <c r="C31" s="6" t="inlineStr">
        <is>
          <t>Medical (doctors)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9">
        <f>IF(AND(F31="",G31=""),"",N(F31)+N(G31))</f>
        <v/>
      </c>
      <c r="N31" s="10">
        <f>IF(N(M31)=0,"",F31/M31)</f>
        <v/>
      </c>
      <c r="O31" s="10">
        <f>IF(N(D31)=0,"",E31/D31)</f>
        <v/>
      </c>
    </row>
    <row r="32">
      <c r="A32" s="6" t="n">
        <v>4</v>
      </c>
      <c r="B32" s="7">
        <f>IF(Instructions!$B$6="","",Instructions!$B$6+7*(A32-1))</f>
        <v/>
      </c>
      <c r="C32" s="6" t="inlineStr">
        <is>
          <t>Laboratory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>
        <f>IF(AND(F32="",G32=""),"",N(F32)+N(G32))</f>
        <v/>
      </c>
      <c r="N32" s="10">
        <f>IF(N(M32)=0,"",F32/M32)</f>
        <v/>
      </c>
      <c r="O32" s="10">
        <f>IF(N(D32)=0,"",E32/D32)</f>
        <v/>
      </c>
    </row>
    <row r="33">
      <c r="A33" s="6" t="n">
        <v>4</v>
      </c>
      <c r="B33" s="7">
        <f>IF(Instructions!$B$6="","",Instructions!$B$6+7*(A33-1))</f>
        <v/>
      </c>
      <c r="C33" s="6" t="inlineStr">
        <is>
          <t>Pharmacy and stock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9">
        <f>IF(AND(F33="",G33=""),"",N(F33)+N(G33))</f>
        <v/>
      </c>
      <c r="N33" s="10">
        <f>IF(N(M33)=0,"",F33/M33)</f>
        <v/>
      </c>
      <c r="O33" s="10">
        <f>IF(N(D33)=0,"",E33/D33)</f>
        <v/>
      </c>
    </row>
    <row r="34">
      <c r="A34" s="6" t="n">
        <v>4</v>
      </c>
      <c r="B34" s="7">
        <f>IF(Instructions!$B$6="","",Instructions!$B$6+7*(A34-1))</f>
        <v/>
      </c>
      <c r="C34" s="6" t="inlineStr">
        <is>
          <t>Production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9">
        <f>IF(AND(F34="",G34=""),"",N(F34)+N(G34))</f>
        <v/>
      </c>
      <c r="N34" s="10">
        <f>IF(N(M34)=0,"",F34/M34)</f>
        <v/>
      </c>
      <c r="O34" s="10">
        <f>IF(N(D34)=0,"",E34/D34)</f>
        <v/>
      </c>
    </row>
    <row r="35">
      <c r="A35" s="6" t="n">
        <v>4</v>
      </c>
      <c r="B35" s="7">
        <f>IF(Instructions!$B$6="","",Instructions!$B$6+7*(A35-1))</f>
        <v/>
      </c>
      <c r="C35" s="6" t="inlineStr">
        <is>
          <t>Toxicology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9">
        <f>IF(AND(F35="",G35=""),"",N(F35)+N(G35))</f>
        <v/>
      </c>
      <c r="N35" s="10">
        <f>IF(N(M35)=0,"",F35/M35)</f>
        <v/>
      </c>
      <c r="O35" s="10">
        <f>IF(N(D35)=0,"",E35/D35)</f>
        <v/>
      </c>
    </row>
    <row r="36">
      <c r="A36" s="6" t="n">
        <v>4</v>
      </c>
      <c r="B36" s="7">
        <f>IF(Instructions!$B$6="","",Instructions!$B$6+7*(A36-1))</f>
        <v/>
      </c>
      <c r="C36" s="6" t="inlineStr">
        <is>
          <t>Spiritual care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9">
        <f>IF(AND(F36="",G36=""),"",N(F36)+N(G36))</f>
        <v/>
      </c>
      <c r="N36" s="10">
        <f>IF(N(M36)=0,"",F36/M36)</f>
        <v/>
      </c>
      <c r="O36" s="10">
        <f>IF(N(D36)=0,"",E36/D36)</f>
        <v/>
      </c>
    </row>
    <row r="37">
      <c r="A37" s="6" t="n">
        <v>4</v>
      </c>
      <c r="B37" s="7">
        <f>IF(Instructions!$B$6="","",Instructions!$B$6+7*(A37-1))</f>
        <v/>
      </c>
      <c r="C37" s="6" t="inlineStr">
        <is>
          <t>Management and admin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9">
        <f>IF(AND(F37="",G37=""),"",N(F37)+N(G37))</f>
        <v/>
      </c>
      <c r="N37" s="10">
        <f>IF(N(M37)=0,"",F37/M37)</f>
        <v/>
      </c>
      <c r="O37" s="10">
        <f>IF(N(D37)=0,"",E37/D37)</f>
        <v/>
      </c>
    </row>
    <row r="38">
      <c r="A38" s="6" t="n">
        <v>5</v>
      </c>
      <c r="B38" s="7">
        <f>IF(Instructions!$B$6="","",Instructions!$B$6+7*(A38-1))</f>
        <v/>
      </c>
      <c r="C38" s="6" t="inlineStr">
        <is>
          <t>Reception and cash desk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9">
        <f>IF(AND(F38="",G38=""),"",N(F38)+N(G38))</f>
        <v/>
      </c>
      <c r="N38" s="10">
        <f>IF(N(M38)=0,"",F38/M38)</f>
        <v/>
      </c>
      <c r="O38" s="10">
        <f>IF(N(D38)=0,"",E38/D38)</f>
        <v/>
      </c>
    </row>
    <row r="39">
      <c r="A39" s="6" t="n">
        <v>5</v>
      </c>
      <c r="B39" s="7">
        <f>IF(Instructions!$B$6="","",Instructions!$B$6+7*(A39-1))</f>
        <v/>
      </c>
      <c r="C39" s="6" t="inlineStr">
        <is>
          <t>Nursing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9">
        <f>IF(AND(F39="",G39=""),"",N(F39)+N(G39))</f>
        <v/>
      </c>
      <c r="N39" s="10">
        <f>IF(N(M39)=0,"",F39/M39)</f>
        <v/>
      </c>
      <c r="O39" s="10">
        <f>IF(N(D39)=0,"",E39/D39)</f>
        <v/>
      </c>
    </row>
    <row r="40">
      <c r="A40" s="6" t="n">
        <v>5</v>
      </c>
      <c r="B40" s="7">
        <f>IF(Instructions!$B$6="","",Instructions!$B$6+7*(A40-1))</f>
        <v/>
      </c>
      <c r="C40" s="6" t="inlineStr">
        <is>
          <t>Medical (doctors)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9">
        <f>IF(AND(F40="",G40=""),"",N(F40)+N(G40))</f>
        <v/>
      </c>
      <c r="N40" s="10">
        <f>IF(N(M40)=0,"",F40/M40)</f>
        <v/>
      </c>
      <c r="O40" s="10">
        <f>IF(N(D40)=0,"",E40/D40)</f>
        <v/>
      </c>
    </row>
    <row r="41">
      <c r="A41" s="6" t="n">
        <v>5</v>
      </c>
      <c r="B41" s="7">
        <f>IF(Instructions!$B$6="","",Instructions!$B$6+7*(A41-1))</f>
        <v/>
      </c>
      <c r="C41" s="6" t="inlineStr">
        <is>
          <t>Laboratory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9">
        <f>IF(AND(F41="",G41=""),"",N(F41)+N(G41))</f>
        <v/>
      </c>
      <c r="N41" s="10">
        <f>IF(N(M41)=0,"",F41/M41)</f>
        <v/>
      </c>
      <c r="O41" s="10">
        <f>IF(N(D41)=0,"",E41/D41)</f>
        <v/>
      </c>
    </row>
    <row r="42">
      <c r="A42" s="6" t="n">
        <v>5</v>
      </c>
      <c r="B42" s="7">
        <f>IF(Instructions!$B$6="","",Instructions!$B$6+7*(A42-1))</f>
        <v/>
      </c>
      <c r="C42" s="6" t="inlineStr">
        <is>
          <t>Pharmacy and stock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9">
        <f>IF(AND(F42="",G42=""),"",N(F42)+N(G42))</f>
        <v/>
      </c>
      <c r="N42" s="10">
        <f>IF(N(M42)=0,"",F42/M42)</f>
        <v/>
      </c>
      <c r="O42" s="10">
        <f>IF(N(D42)=0,"",E42/D42)</f>
        <v/>
      </c>
    </row>
    <row r="43">
      <c r="A43" s="6" t="n">
        <v>5</v>
      </c>
      <c r="B43" s="7">
        <f>IF(Instructions!$B$6="","",Instructions!$B$6+7*(A43-1))</f>
        <v/>
      </c>
      <c r="C43" s="6" t="inlineStr">
        <is>
          <t>Production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9">
        <f>IF(AND(F43="",G43=""),"",N(F43)+N(G43))</f>
        <v/>
      </c>
      <c r="N43" s="10">
        <f>IF(N(M43)=0,"",F43/M43)</f>
        <v/>
      </c>
      <c r="O43" s="10">
        <f>IF(N(D43)=0,"",E43/D43)</f>
        <v/>
      </c>
    </row>
    <row r="44">
      <c r="A44" s="6" t="n">
        <v>5</v>
      </c>
      <c r="B44" s="7">
        <f>IF(Instructions!$B$6="","",Instructions!$B$6+7*(A44-1))</f>
        <v/>
      </c>
      <c r="C44" s="6" t="inlineStr">
        <is>
          <t>Toxicology</t>
        </is>
      </c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9">
        <f>IF(AND(F44="",G44=""),"",N(F44)+N(G44))</f>
        <v/>
      </c>
      <c r="N44" s="10">
        <f>IF(N(M44)=0,"",F44/M44)</f>
        <v/>
      </c>
      <c r="O44" s="10">
        <f>IF(N(D44)=0,"",E44/D44)</f>
        <v/>
      </c>
    </row>
    <row r="45">
      <c r="A45" s="6" t="n">
        <v>5</v>
      </c>
      <c r="B45" s="7">
        <f>IF(Instructions!$B$6="","",Instructions!$B$6+7*(A45-1))</f>
        <v/>
      </c>
      <c r="C45" s="6" t="inlineStr">
        <is>
          <t>Spiritual care</t>
        </is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9">
        <f>IF(AND(F45="",G45=""),"",N(F45)+N(G45))</f>
        <v/>
      </c>
      <c r="N45" s="10">
        <f>IF(N(M45)=0,"",F45/M45)</f>
        <v/>
      </c>
      <c r="O45" s="10">
        <f>IF(N(D45)=0,"",E45/D45)</f>
        <v/>
      </c>
    </row>
    <row r="46">
      <c r="A46" s="6" t="n">
        <v>5</v>
      </c>
      <c r="B46" s="7">
        <f>IF(Instructions!$B$6="","",Instructions!$B$6+7*(A46-1))</f>
        <v/>
      </c>
      <c r="C46" s="6" t="inlineStr">
        <is>
          <t>Management and admin</t>
        </is>
      </c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9">
        <f>IF(AND(F46="",G46=""),"",N(F46)+N(G46))</f>
        <v/>
      </c>
      <c r="N46" s="10">
        <f>IF(N(M46)=0,"",F46/M46)</f>
        <v/>
      </c>
      <c r="O46" s="10">
        <f>IF(N(D46)=0,"",E46/D46)</f>
        <v/>
      </c>
    </row>
    <row r="47">
      <c r="A47" s="6" t="n">
        <v>6</v>
      </c>
      <c r="B47" s="7">
        <f>IF(Instructions!$B$6="","",Instructions!$B$6+7*(A47-1))</f>
        <v/>
      </c>
      <c r="C47" s="6" t="inlineStr">
        <is>
          <t>Reception and cash desk</t>
        </is>
      </c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9">
        <f>IF(AND(F47="",G47=""),"",N(F47)+N(G47))</f>
        <v/>
      </c>
      <c r="N47" s="10">
        <f>IF(N(M47)=0,"",F47/M47)</f>
        <v/>
      </c>
      <c r="O47" s="10">
        <f>IF(N(D47)=0,"",E47/D47)</f>
        <v/>
      </c>
    </row>
    <row r="48">
      <c r="A48" s="6" t="n">
        <v>6</v>
      </c>
      <c r="B48" s="7">
        <f>IF(Instructions!$B$6="","",Instructions!$B$6+7*(A48-1))</f>
        <v/>
      </c>
      <c r="C48" s="6" t="inlineStr">
        <is>
          <t>Nursing</t>
        </is>
      </c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9">
        <f>IF(AND(F48="",G48=""),"",N(F48)+N(G48))</f>
        <v/>
      </c>
      <c r="N48" s="10">
        <f>IF(N(M48)=0,"",F48/M48)</f>
        <v/>
      </c>
      <c r="O48" s="10">
        <f>IF(N(D48)=0,"",E48/D48)</f>
        <v/>
      </c>
    </row>
    <row r="49">
      <c r="A49" s="6" t="n">
        <v>6</v>
      </c>
      <c r="B49" s="7">
        <f>IF(Instructions!$B$6="","",Instructions!$B$6+7*(A49-1))</f>
        <v/>
      </c>
      <c r="C49" s="6" t="inlineStr">
        <is>
          <t>Medical (doctors)</t>
        </is>
      </c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9">
        <f>IF(AND(F49="",G49=""),"",N(F49)+N(G49))</f>
        <v/>
      </c>
      <c r="N49" s="10">
        <f>IF(N(M49)=0,"",F49/M49)</f>
        <v/>
      </c>
      <c r="O49" s="10">
        <f>IF(N(D49)=0,"",E49/D49)</f>
        <v/>
      </c>
    </row>
    <row r="50">
      <c r="A50" s="6" t="n">
        <v>6</v>
      </c>
      <c r="B50" s="7">
        <f>IF(Instructions!$B$6="","",Instructions!$B$6+7*(A50-1))</f>
        <v/>
      </c>
      <c r="C50" s="6" t="inlineStr">
        <is>
          <t>Laboratory</t>
        </is>
      </c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9">
        <f>IF(AND(F50="",G50=""),"",N(F50)+N(G50))</f>
        <v/>
      </c>
      <c r="N50" s="10">
        <f>IF(N(M50)=0,"",F50/M50)</f>
        <v/>
      </c>
      <c r="O50" s="10">
        <f>IF(N(D50)=0,"",E50/D50)</f>
        <v/>
      </c>
    </row>
    <row r="51">
      <c r="A51" s="6" t="n">
        <v>6</v>
      </c>
      <c r="B51" s="7">
        <f>IF(Instructions!$B$6="","",Instructions!$B$6+7*(A51-1))</f>
        <v/>
      </c>
      <c r="C51" s="6" t="inlineStr">
        <is>
          <t>Pharmacy and stock</t>
        </is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9">
        <f>IF(AND(F51="",G51=""),"",N(F51)+N(G51))</f>
        <v/>
      </c>
      <c r="N51" s="10">
        <f>IF(N(M51)=0,"",F51/M51)</f>
        <v/>
      </c>
      <c r="O51" s="10">
        <f>IF(N(D51)=0,"",E51/D51)</f>
        <v/>
      </c>
    </row>
    <row r="52">
      <c r="A52" s="6" t="n">
        <v>6</v>
      </c>
      <c r="B52" s="7">
        <f>IF(Instructions!$B$6="","",Instructions!$B$6+7*(A52-1))</f>
        <v/>
      </c>
      <c r="C52" s="6" t="inlineStr">
        <is>
          <t>Production</t>
        </is>
      </c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9">
        <f>IF(AND(F52="",G52=""),"",N(F52)+N(G52))</f>
        <v/>
      </c>
      <c r="N52" s="10">
        <f>IF(N(M52)=0,"",F52/M52)</f>
        <v/>
      </c>
      <c r="O52" s="10">
        <f>IF(N(D52)=0,"",E52/D52)</f>
        <v/>
      </c>
    </row>
    <row r="53">
      <c r="A53" s="6" t="n">
        <v>6</v>
      </c>
      <c r="B53" s="7">
        <f>IF(Instructions!$B$6="","",Instructions!$B$6+7*(A53-1))</f>
        <v/>
      </c>
      <c r="C53" s="6" t="inlineStr">
        <is>
          <t>Toxicology</t>
        </is>
      </c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9">
        <f>IF(AND(F53="",G53=""),"",N(F53)+N(G53))</f>
        <v/>
      </c>
      <c r="N53" s="10">
        <f>IF(N(M53)=0,"",F53/M53)</f>
        <v/>
      </c>
      <c r="O53" s="10">
        <f>IF(N(D53)=0,"",E53/D53)</f>
        <v/>
      </c>
    </row>
    <row r="54">
      <c r="A54" s="6" t="n">
        <v>6</v>
      </c>
      <c r="B54" s="7">
        <f>IF(Instructions!$B$6="","",Instructions!$B$6+7*(A54-1))</f>
        <v/>
      </c>
      <c r="C54" s="6" t="inlineStr">
        <is>
          <t>Spiritual care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9">
        <f>IF(AND(F54="",G54=""),"",N(F54)+N(G54))</f>
        <v/>
      </c>
      <c r="N54" s="10">
        <f>IF(N(M54)=0,"",F54/M54)</f>
        <v/>
      </c>
      <c r="O54" s="10">
        <f>IF(N(D54)=0,"",E54/D54)</f>
        <v/>
      </c>
    </row>
    <row r="55">
      <c r="A55" s="6" t="n">
        <v>6</v>
      </c>
      <c r="B55" s="7">
        <f>IF(Instructions!$B$6="","",Instructions!$B$6+7*(A55-1))</f>
        <v/>
      </c>
      <c r="C55" s="6" t="inlineStr">
        <is>
          <t>Management and admin</t>
        </is>
      </c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9">
        <f>IF(AND(F55="",G55=""),"",N(F55)+N(G55))</f>
        <v/>
      </c>
      <c r="N55" s="10">
        <f>IF(N(M55)=0,"",F55/M55)</f>
        <v/>
      </c>
      <c r="O55" s="10">
        <f>IF(N(D55)=0,"",E55/D55)</f>
        <v/>
      </c>
    </row>
    <row r="56">
      <c r="A56" s="6" t="n">
        <v>7</v>
      </c>
      <c r="B56" s="7">
        <f>IF(Instructions!$B$6="","",Instructions!$B$6+7*(A56-1))</f>
        <v/>
      </c>
      <c r="C56" s="6" t="inlineStr">
        <is>
          <t>Reception and cash desk</t>
        </is>
      </c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9">
        <f>IF(AND(F56="",G56=""),"",N(F56)+N(G56))</f>
        <v/>
      </c>
      <c r="N56" s="10">
        <f>IF(N(M56)=0,"",F56/M56)</f>
        <v/>
      </c>
      <c r="O56" s="10">
        <f>IF(N(D56)=0,"",E56/D56)</f>
        <v/>
      </c>
    </row>
    <row r="57">
      <c r="A57" s="6" t="n">
        <v>7</v>
      </c>
      <c r="B57" s="7">
        <f>IF(Instructions!$B$6="","",Instructions!$B$6+7*(A57-1))</f>
        <v/>
      </c>
      <c r="C57" s="6" t="inlineStr">
        <is>
          <t>Nursing</t>
        </is>
      </c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9">
        <f>IF(AND(F57="",G57=""),"",N(F57)+N(G57))</f>
        <v/>
      </c>
      <c r="N57" s="10">
        <f>IF(N(M57)=0,"",F57/M57)</f>
        <v/>
      </c>
      <c r="O57" s="10">
        <f>IF(N(D57)=0,"",E57/D57)</f>
        <v/>
      </c>
    </row>
    <row r="58">
      <c r="A58" s="6" t="n">
        <v>7</v>
      </c>
      <c r="B58" s="7">
        <f>IF(Instructions!$B$6="","",Instructions!$B$6+7*(A58-1))</f>
        <v/>
      </c>
      <c r="C58" s="6" t="inlineStr">
        <is>
          <t>Medical (doctors)</t>
        </is>
      </c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>
        <f>IF(AND(F58="",G58=""),"",N(F58)+N(G58))</f>
        <v/>
      </c>
      <c r="N58" s="10">
        <f>IF(N(M58)=0,"",F58/M58)</f>
        <v/>
      </c>
      <c r="O58" s="10">
        <f>IF(N(D58)=0,"",E58/D58)</f>
        <v/>
      </c>
    </row>
    <row r="59">
      <c r="A59" s="6" t="n">
        <v>7</v>
      </c>
      <c r="B59" s="7">
        <f>IF(Instructions!$B$6="","",Instructions!$B$6+7*(A59-1))</f>
        <v/>
      </c>
      <c r="C59" s="6" t="inlineStr">
        <is>
          <t>Laboratory</t>
        </is>
      </c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9">
        <f>IF(AND(F59="",G59=""),"",N(F59)+N(G59))</f>
        <v/>
      </c>
      <c r="N59" s="10">
        <f>IF(N(M59)=0,"",F59/M59)</f>
        <v/>
      </c>
      <c r="O59" s="10">
        <f>IF(N(D59)=0,"",E59/D59)</f>
        <v/>
      </c>
    </row>
    <row r="60">
      <c r="A60" s="6" t="n">
        <v>7</v>
      </c>
      <c r="B60" s="7">
        <f>IF(Instructions!$B$6="","",Instructions!$B$6+7*(A60-1))</f>
        <v/>
      </c>
      <c r="C60" s="6" t="inlineStr">
        <is>
          <t>Pharmacy and stock</t>
        </is>
      </c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9">
        <f>IF(AND(F60="",G60=""),"",N(F60)+N(G60))</f>
        <v/>
      </c>
      <c r="N60" s="10">
        <f>IF(N(M60)=0,"",F60/M60)</f>
        <v/>
      </c>
      <c r="O60" s="10">
        <f>IF(N(D60)=0,"",E60/D60)</f>
        <v/>
      </c>
    </row>
    <row r="61">
      <c r="A61" s="6" t="n">
        <v>7</v>
      </c>
      <c r="B61" s="7">
        <f>IF(Instructions!$B$6="","",Instructions!$B$6+7*(A61-1))</f>
        <v/>
      </c>
      <c r="C61" s="6" t="inlineStr">
        <is>
          <t>Production</t>
        </is>
      </c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9">
        <f>IF(AND(F61="",G61=""),"",N(F61)+N(G61))</f>
        <v/>
      </c>
      <c r="N61" s="10">
        <f>IF(N(M61)=0,"",F61/M61)</f>
        <v/>
      </c>
      <c r="O61" s="10">
        <f>IF(N(D61)=0,"",E61/D61)</f>
        <v/>
      </c>
    </row>
    <row r="62">
      <c r="A62" s="6" t="n">
        <v>7</v>
      </c>
      <c r="B62" s="7">
        <f>IF(Instructions!$B$6="","",Instructions!$B$6+7*(A62-1))</f>
        <v/>
      </c>
      <c r="C62" s="6" t="inlineStr">
        <is>
          <t>Toxicology</t>
        </is>
      </c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9">
        <f>IF(AND(F62="",G62=""),"",N(F62)+N(G62))</f>
        <v/>
      </c>
      <c r="N62" s="10">
        <f>IF(N(M62)=0,"",F62/M62)</f>
        <v/>
      </c>
      <c r="O62" s="10">
        <f>IF(N(D62)=0,"",E62/D62)</f>
        <v/>
      </c>
    </row>
    <row r="63">
      <c r="A63" s="6" t="n">
        <v>7</v>
      </c>
      <c r="B63" s="7">
        <f>IF(Instructions!$B$6="","",Instructions!$B$6+7*(A63-1))</f>
        <v/>
      </c>
      <c r="C63" s="6" t="inlineStr">
        <is>
          <t>Spiritual care</t>
        </is>
      </c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9">
        <f>IF(AND(F63="",G63=""),"",N(F63)+N(G63))</f>
        <v/>
      </c>
      <c r="N63" s="10">
        <f>IF(N(M63)=0,"",F63/M63)</f>
        <v/>
      </c>
      <c r="O63" s="10">
        <f>IF(N(D63)=0,"",E63/D63)</f>
        <v/>
      </c>
    </row>
    <row r="64">
      <c r="A64" s="6" t="n">
        <v>7</v>
      </c>
      <c r="B64" s="7">
        <f>IF(Instructions!$B$6="","",Instructions!$B$6+7*(A64-1))</f>
        <v/>
      </c>
      <c r="C64" s="6" t="inlineStr">
        <is>
          <t>Management and admin</t>
        </is>
      </c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9">
        <f>IF(AND(F64="",G64=""),"",N(F64)+N(G64))</f>
        <v/>
      </c>
      <c r="N64" s="10">
        <f>IF(N(M64)=0,"",F64/M64)</f>
        <v/>
      </c>
      <c r="O64" s="10">
        <f>IF(N(D64)=0,"",E64/D64)</f>
        <v/>
      </c>
    </row>
    <row r="65">
      <c r="A65" s="6" t="n">
        <v>8</v>
      </c>
      <c r="B65" s="7">
        <f>IF(Instructions!$B$6="","",Instructions!$B$6+7*(A65-1))</f>
        <v/>
      </c>
      <c r="C65" s="6" t="inlineStr">
        <is>
          <t>Reception and cash desk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9">
        <f>IF(AND(F65="",G65=""),"",N(F65)+N(G65))</f>
        <v/>
      </c>
      <c r="N65" s="10">
        <f>IF(N(M65)=0,"",F65/M65)</f>
        <v/>
      </c>
      <c r="O65" s="10">
        <f>IF(N(D65)=0,"",E65/D65)</f>
        <v/>
      </c>
    </row>
    <row r="66">
      <c r="A66" s="6" t="n">
        <v>8</v>
      </c>
      <c r="B66" s="7">
        <f>IF(Instructions!$B$6="","",Instructions!$B$6+7*(A66-1))</f>
        <v/>
      </c>
      <c r="C66" s="6" t="inlineStr">
        <is>
          <t>Nursing</t>
        </is>
      </c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9">
        <f>IF(AND(F66="",G66=""),"",N(F66)+N(G66))</f>
        <v/>
      </c>
      <c r="N66" s="10">
        <f>IF(N(M66)=0,"",F66/M66)</f>
        <v/>
      </c>
      <c r="O66" s="10">
        <f>IF(N(D66)=0,"",E66/D66)</f>
        <v/>
      </c>
    </row>
    <row r="67">
      <c r="A67" s="6" t="n">
        <v>8</v>
      </c>
      <c r="B67" s="7">
        <f>IF(Instructions!$B$6="","",Instructions!$B$6+7*(A67-1))</f>
        <v/>
      </c>
      <c r="C67" s="6" t="inlineStr">
        <is>
          <t>Medical (doctors)</t>
        </is>
      </c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9">
        <f>IF(AND(F67="",G67=""),"",N(F67)+N(G67))</f>
        <v/>
      </c>
      <c r="N67" s="10">
        <f>IF(N(M67)=0,"",F67/M67)</f>
        <v/>
      </c>
      <c r="O67" s="10">
        <f>IF(N(D67)=0,"",E67/D67)</f>
        <v/>
      </c>
    </row>
    <row r="68">
      <c r="A68" s="6" t="n">
        <v>8</v>
      </c>
      <c r="B68" s="7">
        <f>IF(Instructions!$B$6="","",Instructions!$B$6+7*(A68-1))</f>
        <v/>
      </c>
      <c r="C68" s="6" t="inlineStr">
        <is>
          <t>Laboratory</t>
        </is>
      </c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9">
        <f>IF(AND(F68="",G68=""),"",N(F68)+N(G68))</f>
        <v/>
      </c>
      <c r="N68" s="10">
        <f>IF(N(M68)=0,"",F68/M68)</f>
        <v/>
      </c>
      <c r="O68" s="10">
        <f>IF(N(D68)=0,"",E68/D68)</f>
        <v/>
      </c>
    </row>
    <row r="69">
      <c r="A69" s="6" t="n">
        <v>8</v>
      </c>
      <c r="B69" s="7">
        <f>IF(Instructions!$B$6="","",Instructions!$B$6+7*(A69-1))</f>
        <v/>
      </c>
      <c r="C69" s="6" t="inlineStr">
        <is>
          <t>Pharmacy and stock</t>
        </is>
      </c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9">
        <f>IF(AND(F69="",G69=""),"",N(F69)+N(G69))</f>
        <v/>
      </c>
      <c r="N69" s="10">
        <f>IF(N(M69)=0,"",F69/M69)</f>
        <v/>
      </c>
      <c r="O69" s="10">
        <f>IF(N(D69)=0,"",E69/D69)</f>
        <v/>
      </c>
    </row>
    <row r="70">
      <c r="A70" s="6" t="n">
        <v>8</v>
      </c>
      <c r="B70" s="7">
        <f>IF(Instructions!$B$6="","",Instructions!$B$6+7*(A70-1))</f>
        <v/>
      </c>
      <c r="C70" s="6" t="inlineStr">
        <is>
          <t>Production</t>
        </is>
      </c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9">
        <f>IF(AND(F70="",G70=""),"",N(F70)+N(G70))</f>
        <v/>
      </c>
      <c r="N70" s="10">
        <f>IF(N(M70)=0,"",F70/M70)</f>
        <v/>
      </c>
      <c r="O70" s="10">
        <f>IF(N(D70)=0,"",E70/D70)</f>
        <v/>
      </c>
    </row>
    <row r="71">
      <c r="A71" s="6" t="n">
        <v>8</v>
      </c>
      <c r="B71" s="7">
        <f>IF(Instructions!$B$6="","",Instructions!$B$6+7*(A71-1))</f>
        <v/>
      </c>
      <c r="C71" s="6" t="inlineStr">
        <is>
          <t>Toxicology</t>
        </is>
      </c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9">
        <f>IF(AND(F71="",G71=""),"",N(F71)+N(G71))</f>
        <v/>
      </c>
      <c r="N71" s="10">
        <f>IF(N(M71)=0,"",F71/M71)</f>
        <v/>
      </c>
      <c r="O71" s="10">
        <f>IF(N(D71)=0,"",E71/D71)</f>
        <v/>
      </c>
    </row>
    <row r="72">
      <c r="A72" s="6" t="n">
        <v>8</v>
      </c>
      <c r="B72" s="7">
        <f>IF(Instructions!$B$6="","",Instructions!$B$6+7*(A72-1))</f>
        <v/>
      </c>
      <c r="C72" s="6" t="inlineStr">
        <is>
          <t>Spiritual care</t>
        </is>
      </c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9">
        <f>IF(AND(F72="",G72=""),"",N(F72)+N(G72))</f>
        <v/>
      </c>
      <c r="N72" s="10">
        <f>IF(N(M72)=0,"",F72/M72)</f>
        <v/>
      </c>
      <c r="O72" s="10">
        <f>IF(N(D72)=0,"",E72/D72)</f>
        <v/>
      </c>
    </row>
    <row r="73">
      <c r="A73" s="6" t="n">
        <v>8</v>
      </c>
      <c r="B73" s="7">
        <f>IF(Instructions!$B$6="","",Instructions!$B$6+7*(A73-1))</f>
        <v/>
      </c>
      <c r="C73" s="6" t="inlineStr">
        <is>
          <t>Management and admin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9">
        <f>IF(AND(F73="",G73=""),"",N(F73)+N(G73))</f>
        <v/>
      </c>
      <c r="N73" s="10">
        <f>IF(N(M73)=0,"",F73/M73)</f>
        <v/>
      </c>
      <c r="O73" s="10">
        <f>IF(N(D73)=0,"",E73/D73)</f>
        <v/>
      </c>
    </row>
    <row r="74">
      <c r="C74" s="3" t="inlineStr">
        <is>
          <t>Total (sums and averages)</t>
        </is>
      </c>
      <c r="D74" s="3">
        <f>SUM(D2:D73)</f>
        <v/>
      </c>
      <c r="E74" s="3">
        <f>SUM(E2:E73)</f>
        <v/>
      </c>
      <c r="F74" s="3">
        <f>SUM(F2:F73)</f>
        <v/>
      </c>
      <c r="G74" s="3">
        <f>SUM(G2:G73)</f>
        <v/>
      </c>
      <c r="H74" s="3">
        <f>SUM(H2:H73)</f>
        <v/>
      </c>
      <c r="I74" s="3">
        <f>SUM(I2:I73)</f>
        <v/>
      </c>
      <c r="J74" s="11">
        <f>IF(COUNT(J2:J73)=0,"",AVERAGE(J2:J73))</f>
        <v/>
      </c>
      <c r="K74" s="11">
        <f>IF(COUNT(K2:K73)=0,"",AVERAGE(K2:K73))</f>
        <v/>
      </c>
      <c r="M74">
        <f>SUM(M2:M73)</f>
        <v/>
      </c>
      <c r="N74" s="12">
        <f>IF(M74=0,"",F74/M74)</f>
        <v/>
      </c>
      <c r="O74" s="12">
        <f>IF(D74=0,"",E74/D74)</f>
        <v/>
      </c>
    </row>
  </sheetData>
  <dataValidations count="2">
    <dataValidation sqref="K2:K73" showDropDown="0" showInputMessage="0" showErrorMessage="1" allowBlank="1" errorTitle="Satisfaction" error="Type a whole number from 1 to 5." type="whole" operator="between">
      <formula1>1</formula1>
      <formula2>5</formula2>
    </dataValidation>
    <dataValidation sqref="D2:D73 E2:E73 F2:F73 G2:G73 H2:H73 I2:I73 J2:J73" showDropDown="0" showInputMessage="0" showErrorMessage="1" allowBlank="1" error="Type a number, zero or more." type="decimal" operator="greaterThanOrEqual">
      <formula1>0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60" customWidth="1" min="4" max="4"/>
    <col width="12" customWidth="1" min="5" max="5"/>
    <col width="16" customWidth="1" min="6" max="6"/>
    <col width="14" customWidth="1" min="7" max="7"/>
    <col width="12" customWidth="1" min="8" max="8"/>
    <col width="16" customWidth="1" min="10" max="10"/>
  </cols>
  <sheetData>
    <row r="1" ht="45" customHeight="1">
      <c r="A1" s="5" t="inlineStr">
        <is>
          <t>Date</t>
        </is>
      </c>
      <c r="B1" s="5" t="inlineStr">
        <is>
          <t>Service</t>
        </is>
      </c>
      <c r="C1" s="5" t="inlineStr">
        <is>
          <t>Reporter</t>
        </is>
      </c>
      <c r="D1" s="5" t="inlineStr">
        <is>
          <t>Description (no patient data)</t>
        </is>
      </c>
      <c r="E1" s="5" t="inlineStr">
        <is>
          <t>Severity</t>
        </is>
      </c>
      <c r="F1" s="5" t="inlineStr">
        <is>
          <t>Owner</t>
        </is>
      </c>
      <c r="G1" s="5" t="inlineStr">
        <is>
          <t>Status</t>
        </is>
      </c>
      <c r="H1" s="5" t="inlineStr">
        <is>
          <t>Date fixed</t>
        </is>
      </c>
      <c r="J1" s="3" t="inlineStr">
        <is>
          <t>Open issues</t>
        </is>
      </c>
      <c r="K1">
        <f>COUNTIF(G2:G201,"Open")+COUNTIF(G2:G201,"In progress")</f>
        <v/>
      </c>
    </row>
    <row r="2">
      <c r="A2" s="13" t="n"/>
      <c r="B2" s="8" t="n"/>
      <c r="C2" s="8" t="n"/>
      <c r="D2" s="8" t="n"/>
      <c r="E2" s="8" t="n"/>
      <c r="F2" s="8" t="n"/>
      <c r="G2" s="8" t="n"/>
      <c r="H2" s="13" t="n"/>
      <c r="J2" s="3" t="inlineStr">
        <is>
          <t>Open critical</t>
        </is>
      </c>
      <c r="K2">
        <f>COUNTIFS(E2:E201,"Critical",G2:G201,"Open")+COUNTIFS(E2:E201,"Critical",G2:G201,"In progress")</f>
        <v/>
      </c>
    </row>
    <row r="3">
      <c r="A3" s="13" t="n"/>
      <c r="B3" s="8" t="n"/>
      <c r="C3" s="8" t="n"/>
      <c r="D3" s="8" t="n"/>
      <c r="E3" s="8" t="n"/>
      <c r="F3" s="8" t="n"/>
      <c r="G3" s="8" t="n"/>
      <c r="H3" s="13" t="n"/>
    </row>
    <row r="4">
      <c r="A4" s="13" t="n"/>
      <c r="B4" s="8" t="n"/>
      <c r="C4" s="8" t="n"/>
      <c r="D4" s="8" t="n"/>
      <c r="E4" s="8" t="n"/>
      <c r="F4" s="8" t="n"/>
      <c r="G4" s="8" t="n"/>
      <c r="H4" s="13" t="n"/>
    </row>
    <row r="5">
      <c r="A5" s="13" t="n"/>
      <c r="B5" s="8" t="n"/>
      <c r="C5" s="8" t="n"/>
      <c r="D5" s="8" t="n"/>
      <c r="E5" s="8" t="n"/>
      <c r="F5" s="8" t="n"/>
      <c r="G5" s="8" t="n"/>
      <c r="H5" s="13" t="n"/>
    </row>
    <row r="6">
      <c r="A6" s="13" t="n"/>
      <c r="B6" s="8" t="n"/>
      <c r="C6" s="8" t="n"/>
      <c r="D6" s="8" t="n"/>
      <c r="E6" s="8" t="n"/>
      <c r="F6" s="8" t="n"/>
      <c r="G6" s="8" t="n"/>
      <c r="H6" s="13" t="n"/>
    </row>
    <row r="7">
      <c r="A7" s="13" t="n"/>
      <c r="B7" s="8" t="n"/>
      <c r="C7" s="8" t="n"/>
      <c r="D7" s="8" t="n"/>
      <c r="E7" s="8" t="n"/>
      <c r="F7" s="8" t="n"/>
      <c r="G7" s="8" t="n"/>
      <c r="H7" s="13" t="n"/>
    </row>
    <row r="8">
      <c r="A8" s="13" t="n"/>
      <c r="B8" s="8" t="n"/>
      <c r="C8" s="8" t="n"/>
      <c r="D8" s="8" t="n"/>
      <c r="E8" s="8" t="n"/>
      <c r="F8" s="8" t="n"/>
      <c r="G8" s="8" t="n"/>
      <c r="H8" s="13" t="n"/>
    </row>
    <row r="9">
      <c r="A9" s="13" t="n"/>
      <c r="B9" s="8" t="n"/>
      <c r="C9" s="8" t="n"/>
      <c r="D9" s="8" t="n"/>
      <c r="E9" s="8" t="n"/>
      <c r="F9" s="8" t="n"/>
      <c r="G9" s="8" t="n"/>
      <c r="H9" s="13" t="n"/>
    </row>
    <row r="10">
      <c r="A10" s="13" t="n"/>
      <c r="B10" s="8" t="n"/>
      <c r="C10" s="8" t="n"/>
      <c r="D10" s="8" t="n"/>
      <c r="E10" s="8" t="n"/>
      <c r="F10" s="8" t="n"/>
      <c r="G10" s="8" t="n"/>
      <c r="H10" s="13" t="n"/>
    </row>
    <row r="11">
      <c r="A11" s="13" t="n"/>
      <c r="B11" s="8" t="n"/>
      <c r="C11" s="8" t="n"/>
      <c r="D11" s="8" t="n"/>
      <c r="E11" s="8" t="n"/>
      <c r="F11" s="8" t="n"/>
      <c r="G11" s="8" t="n"/>
      <c r="H11" s="13" t="n"/>
    </row>
    <row r="12">
      <c r="A12" s="13" t="n"/>
      <c r="B12" s="8" t="n"/>
      <c r="C12" s="8" t="n"/>
      <c r="D12" s="8" t="n"/>
      <c r="E12" s="8" t="n"/>
      <c r="F12" s="8" t="n"/>
      <c r="G12" s="8" t="n"/>
      <c r="H12" s="13" t="n"/>
    </row>
    <row r="13">
      <c r="A13" s="13" t="n"/>
      <c r="B13" s="8" t="n"/>
      <c r="C13" s="8" t="n"/>
      <c r="D13" s="8" t="n"/>
      <c r="E13" s="8" t="n"/>
      <c r="F13" s="8" t="n"/>
      <c r="G13" s="8" t="n"/>
      <c r="H13" s="13" t="n"/>
    </row>
    <row r="14">
      <c r="A14" s="13" t="n"/>
      <c r="B14" s="8" t="n"/>
      <c r="C14" s="8" t="n"/>
      <c r="D14" s="8" t="n"/>
      <c r="E14" s="8" t="n"/>
      <c r="F14" s="8" t="n"/>
      <c r="G14" s="8" t="n"/>
      <c r="H14" s="13" t="n"/>
    </row>
    <row r="15">
      <c r="A15" s="13" t="n"/>
      <c r="B15" s="8" t="n"/>
      <c r="C15" s="8" t="n"/>
      <c r="D15" s="8" t="n"/>
      <c r="E15" s="8" t="n"/>
      <c r="F15" s="8" t="n"/>
      <c r="G15" s="8" t="n"/>
      <c r="H15" s="13" t="n"/>
    </row>
    <row r="16">
      <c r="A16" s="13" t="n"/>
      <c r="B16" s="8" t="n"/>
      <c r="C16" s="8" t="n"/>
      <c r="D16" s="8" t="n"/>
      <c r="E16" s="8" t="n"/>
      <c r="F16" s="8" t="n"/>
      <c r="G16" s="8" t="n"/>
      <c r="H16" s="13" t="n"/>
    </row>
    <row r="17">
      <c r="A17" s="13" t="n"/>
      <c r="B17" s="8" t="n"/>
      <c r="C17" s="8" t="n"/>
      <c r="D17" s="8" t="n"/>
      <c r="E17" s="8" t="n"/>
      <c r="F17" s="8" t="n"/>
      <c r="G17" s="8" t="n"/>
      <c r="H17" s="13" t="n"/>
    </row>
    <row r="18">
      <c r="A18" s="13" t="n"/>
      <c r="B18" s="8" t="n"/>
      <c r="C18" s="8" t="n"/>
      <c r="D18" s="8" t="n"/>
      <c r="E18" s="8" t="n"/>
      <c r="F18" s="8" t="n"/>
      <c r="G18" s="8" t="n"/>
      <c r="H18" s="13" t="n"/>
    </row>
    <row r="19">
      <c r="A19" s="13" t="n"/>
      <c r="B19" s="8" t="n"/>
      <c r="C19" s="8" t="n"/>
      <c r="D19" s="8" t="n"/>
      <c r="E19" s="8" t="n"/>
      <c r="F19" s="8" t="n"/>
      <c r="G19" s="8" t="n"/>
      <c r="H19" s="13" t="n"/>
    </row>
    <row r="20">
      <c r="A20" s="13" t="n"/>
      <c r="B20" s="8" t="n"/>
      <c r="C20" s="8" t="n"/>
      <c r="D20" s="8" t="n"/>
      <c r="E20" s="8" t="n"/>
      <c r="F20" s="8" t="n"/>
      <c r="G20" s="8" t="n"/>
      <c r="H20" s="13" t="n"/>
    </row>
    <row r="21">
      <c r="A21" s="13" t="n"/>
      <c r="B21" s="8" t="n"/>
      <c r="C21" s="8" t="n"/>
      <c r="D21" s="8" t="n"/>
      <c r="E21" s="8" t="n"/>
      <c r="F21" s="8" t="n"/>
      <c r="G21" s="8" t="n"/>
      <c r="H21" s="13" t="n"/>
    </row>
    <row r="22">
      <c r="A22" s="13" t="n"/>
      <c r="B22" s="8" t="n"/>
      <c r="C22" s="8" t="n"/>
      <c r="D22" s="8" t="n"/>
      <c r="E22" s="8" t="n"/>
      <c r="F22" s="8" t="n"/>
      <c r="G22" s="8" t="n"/>
      <c r="H22" s="13" t="n"/>
    </row>
    <row r="23">
      <c r="A23" s="13" t="n"/>
      <c r="B23" s="8" t="n"/>
      <c r="C23" s="8" t="n"/>
      <c r="D23" s="8" t="n"/>
      <c r="E23" s="8" t="n"/>
      <c r="F23" s="8" t="n"/>
      <c r="G23" s="8" t="n"/>
      <c r="H23" s="13" t="n"/>
    </row>
    <row r="24">
      <c r="A24" s="13" t="n"/>
      <c r="B24" s="8" t="n"/>
      <c r="C24" s="8" t="n"/>
      <c r="D24" s="8" t="n"/>
      <c r="E24" s="8" t="n"/>
      <c r="F24" s="8" t="n"/>
      <c r="G24" s="8" t="n"/>
      <c r="H24" s="13" t="n"/>
    </row>
    <row r="25">
      <c r="A25" s="13" t="n"/>
      <c r="B25" s="8" t="n"/>
      <c r="C25" s="8" t="n"/>
      <c r="D25" s="8" t="n"/>
      <c r="E25" s="8" t="n"/>
      <c r="F25" s="8" t="n"/>
      <c r="G25" s="8" t="n"/>
      <c r="H25" s="13" t="n"/>
    </row>
    <row r="26">
      <c r="A26" s="13" t="n"/>
      <c r="B26" s="8" t="n"/>
      <c r="C26" s="8" t="n"/>
      <c r="D26" s="8" t="n"/>
      <c r="E26" s="8" t="n"/>
      <c r="F26" s="8" t="n"/>
      <c r="G26" s="8" t="n"/>
      <c r="H26" s="13" t="n"/>
    </row>
    <row r="27">
      <c r="A27" s="13" t="n"/>
      <c r="B27" s="8" t="n"/>
      <c r="C27" s="8" t="n"/>
      <c r="D27" s="8" t="n"/>
      <c r="E27" s="8" t="n"/>
      <c r="F27" s="8" t="n"/>
      <c r="G27" s="8" t="n"/>
      <c r="H27" s="13" t="n"/>
    </row>
    <row r="28">
      <c r="A28" s="13" t="n"/>
      <c r="B28" s="8" t="n"/>
      <c r="C28" s="8" t="n"/>
      <c r="D28" s="8" t="n"/>
      <c r="E28" s="8" t="n"/>
      <c r="F28" s="8" t="n"/>
      <c r="G28" s="8" t="n"/>
      <c r="H28" s="13" t="n"/>
    </row>
    <row r="29">
      <c r="A29" s="13" t="n"/>
      <c r="B29" s="8" t="n"/>
      <c r="C29" s="8" t="n"/>
      <c r="D29" s="8" t="n"/>
      <c r="E29" s="8" t="n"/>
      <c r="F29" s="8" t="n"/>
      <c r="G29" s="8" t="n"/>
      <c r="H29" s="13" t="n"/>
    </row>
    <row r="30">
      <c r="A30" s="13" t="n"/>
      <c r="B30" s="8" t="n"/>
      <c r="C30" s="8" t="n"/>
      <c r="D30" s="8" t="n"/>
      <c r="E30" s="8" t="n"/>
      <c r="F30" s="8" t="n"/>
      <c r="G30" s="8" t="n"/>
      <c r="H30" s="13" t="n"/>
    </row>
    <row r="31">
      <c r="A31" s="13" t="n"/>
      <c r="B31" s="8" t="n"/>
      <c r="C31" s="8" t="n"/>
      <c r="D31" s="8" t="n"/>
      <c r="E31" s="8" t="n"/>
      <c r="F31" s="8" t="n"/>
      <c r="G31" s="8" t="n"/>
      <c r="H31" s="13" t="n"/>
    </row>
    <row r="32">
      <c r="A32" s="13" t="n"/>
      <c r="B32" s="8" t="n"/>
      <c r="C32" s="8" t="n"/>
      <c r="D32" s="8" t="n"/>
      <c r="E32" s="8" t="n"/>
      <c r="F32" s="8" t="n"/>
      <c r="G32" s="8" t="n"/>
      <c r="H32" s="13" t="n"/>
    </row>
    <row r="33">
      <c r="A33" s="13" t="n"/>
      <c r="B33" s="8" t="n"/>
      <c r="C33" s="8" t="n"/>
      <c r="D33" s="8" t="n"/>
      <c r="E33" s="8" t="n"/>
      <c r="F33" s="8" t="n"/>
      <c r="G33" s="8" t="n"/>
      <c r="H33" s="13" t="n"/>
    </row>
    <row r="34">
      <c r="A34" s="13" t="n"/>
      <c r="B34" s="8" t="n"/>
      <c r="C34" s="8" t="n"/>
      <c r="D34" s="8" t="n"/>
      <c r="E34" s="8" t="n"/>
      <c r="F34" s="8" t="n"/>
      <c r="G34" s="8" t="n"/>
      <c r="H34" s="13" t="n"/>
    </row>
    <row r="35">
      <c r="A35" s="13" t="n"/>
      <c r="B35" s="8" t="n"/>
      <c r="C35" s="8" t="n"/>
      <c r="D35" s="8" t="n"/>
      <c r="E35" s="8" t="n"/>
      <c r="F35" s="8" t="n"/>
      <c r="G35" s="8" t="n"/>
      <c r="H35" s="13" t="n"/>
    </row>
    <row r="36">
      <c r="A36" s="13" t="n"/>
      <c r="B36" s="8" t="n"/>
      <c r="C36" s="8" t="n"/>
      <c r="D36" s="8" t="n"/>
      <c r="E36" s="8" t="n"/>
      <c r="F36" s="8" t="n"/>
      <c r="G36" s="8" t="n"/>
      <c r="H36" s="13" t="n"/>
    </row>
    <row r="37">
      <c r="A37" s="13" t="n"/>
      <c r="B37" s="8" t="n"/>
      <c r="C37" s="8" t="n"/>
      <c r="D37" s="8" t="n"/>
      <c r="E37" s="8" t="n"/>
      <c r="F37" s="8" t="n"/>
      <c r="G37" s="8" t="n"/>
      <c r="H37" s="13" t="n"/>
    </row>
    <row r="38">
      <c r="A38" s="13" t="n"/>
      <c r="B38" s="8" t="n"/>
      <c r="C38" s="8" t="n"/>
      <c r="D38" s="8" t="n"/>
      <c r="E38" s="8" t="n"/>
      <c r="F38" s="8" t="n"/>
      <c r="G38" s="8" t="n"/>
      <c r="H38" s="13" t="n"/>
    </row>
    <row r="39">
      <c r="A39" s="13" t="n"/>
      <c r="B39" s="8" t="n"/>
      <c r="C39" s="8" t="n"/>
      <c r="D39" s="8" t="n"/>
      <c r="E39" s="8" t="n"/>
      <c r="F39" s="8" t="n"/>
      <c r="G39" s="8" t="n"/>
      <c r="H39" s="13" t="n"/>
    </row>
    <row r="40">
      <c r="A40" s="13" t="n"/>
      <c r="B40" s="8" t="n"/>
      <c r="C40" s="8" t="n"/>
      <c r="D40" s="8" t="n"/>
      <c r="E40" s="8" t="n"/>
      <c r="F40" s="8" t="n"/>
      <c r="G40" s="8" t="n"/>
      <c r="H40" s="13" t="n"/>
    </row>
    <row r="41">
      <c r="A41" s="13" t="n"/>
      <c r="B41" s="8" t="n"/>
      <c r="C41" s="8" t="n"/>
      <c r="D41" s="8" t="n"/>
      <c r="E41" s="8" t="n"/>
      <c r="F41" s="8" t="n"/>
      <c r="G41" s="8" t="n"/>
      <c r="H41" s="13" t="n"/>
    </row>
    <row r="42">
      <c r="A42" s="13" t="n"/>
      <c r="B42" s="8" t="n"/>
      <c r="C42" s="8" t="n"/>
      <c r="D42" s="8" t="n"/>
      <c r="E42" s="8" t="n"/>
      <c r="F42" s="8" t="n"/>
      <c r="G42" s="8" t="n"/>
      <c r="H42" s="13" t="n"/>
    </row>
    <row r="43">
      <c r="A43" s="13" t="n"/>
      <c r="B43" s="8" t="n"/>
      <c r="C43" s="8" t="n"/>
      <c r="D43" s="8" t="n"/>
      <c r="E43" s="8" t="n"/>
      <c r="F43" s="8" t="n"/>
      <c r="G43" s="8" t="n"/>
      <c r="H43" s="13" t="n"/>
    </row>
    <row r="44">
      <c r="A44" s="13" t="n"/>
      <c r="B44" s="8" t="n"/>
      <c r="C44" s="8" t="n"/>
      <c r="D44" s="8" t="n"/>
      <c r="E44" s="8" t="n"/>
      <c r="F44" s="8" t="n"/>
      <c r="G44" s="8" t="n"/>
      <c r="H44" s="13" t="n"/>
    </row>
    <row r="45">
      <c r="A45" s="13" t="n"/>
      <c r="B45" s="8" t="n"/>
      <c r="C45" s="8" t="n"/>
      <c r="D45" s="8" t="n"/>
      <c r="E45" s="8" t="n"/>
      <c r="F45" s="8" t="n"/>
      <c r="G45" s="8" t="n"/>
      <c r="H45" s="13" t="n"/>
    </row>
    <row r="46">
      <c r="A46" s="13" t="n"/>
      <c r="B46" s="8" t="n"/>
      <c r="C46" s="8" t="n"/>
      <c r="D46" s="8" t="n"/>
      <c r="E46" s="8" t="n"/>
      <c r="F46" s="8" t="n"/>
      <c r="G46" s="8" t="n"/>
      <c r="H46" s="13" t="n"/>
    </row>
    <row r="47">
      <c r="A47" s="13" t="n"/>
      <c r="B47" s="8" t="n"/>
      <c r="C47" s="8" t="n"/>
      <c r="D47" s="8" t="n"/>
      <c r="E47" s="8" t="n"/>
      <c r="F47" s="8" t="n"/>
      <c r="G47" s="8" t="n"/>
      <c r="H47" s="13" t="n"/>
    </row>
    <row r="48">
      <c r="A48" s="13" t="n"/>
      <c r="B48" s="8" t="n"/>
      <c r="C48" s="8" t="n"/>
      <c r="D48" s="8" t="n"/>
      <c r="E48" s="8" t="n"/>
      <c r="F48" s="8" t="n"/>
      <c r="G48" s="8" t="n"/>
      <c r="H48" s="13" t="n"/>
    </row>
    <row r="49">
      <c r="A49" s="13" t="n"/>
      <c r="B49" s="8" t="n"/>
      <c r="C49" s="8" t="n"/>
      <c r="D49" s="8" t="n"/>
      <c r="E49" s="8" t="n"/>
      <c r="F49" s="8" t="n"/>
      <c r="G49" s="8" t="n"/>
      <c r="H49" s="13" t="n"/>
    </row>
    <row r="50">
      <c r="A50" s="13" t="n"/>
      <c r="B50" s="8" t="n"/>
      <c r="C50" s="8" t="n"/>
      <c r="D50" s="8" t="n"/>
      <c r="E50" s="8" t="n"/>
      <c r="F50" s="8" t="n"/>
      <c r="G50" s="8" t="n"/>
      <c r="H50" s="13" t="n"/>
    </row>
    <row r="51">
      <c r="A51" s="13" t="n"/>
      <c r="B51" s="8" t="n"/>
      <c r="C51" s="8" t="n"/>
      <c r="D51" s="8" t="n"/>
      <c r="E51" s="8" t="n"/>
      <c r="F51" s="8" t="n"/>
      <c r="G51" s="8" t="n"/>
      <c r="H51" s="13" t="n"/>
    </row>
    <row r="52">
      <c r="A52" s="13" t="n"/>
      <c r="B52" s="8" t="n"/>
      <c r="C52" s="8" t="n"/>
      <c r="D52" s="8" t="n"/>
      <c r="E52" s="8" t="n"/>
      <c r="F52" s="8" t="n"/>
      <c r="G52" s="8" t="n"/>
      <c r="H52" s="13" t="n"/>
    </row>
    <row r="53">
      <c r="A53" s="13" t="n"/>
      <c r="B53" s="8" t="n"/>
      <c r="C53" s="8" t="n"/>
      <c r="D53" s="8" t="n"/>
      <c r="E53" s="8" t="n"/>
      <c r="F53" s="8" t="n"/>
      <c r="G53" s="8" t="n"/>
      <c r="H53" s="13" t="n"/>
    </row>
    <row r="54">
      <c r="A54" s="13" t="n"/>
      <c r="B54" s="8" t="n"/>
      <c r="C54" s="8" t="n"/>
      <c r="D54" s="8" t="n"/>
      <c r="E54" s="8" t="n"/>
      <c r="F54" s="8" t="n"/>
      <c r="G54" s="8" t="n"/>
      <c r="H54" s="13" t="n"/>
    </row>
    <row r="55">
      <c r="A55" s="13" t="n"/>
      <c r="B55" s="8" t="n"/>
      <c r="C55" s="8" t="n"/>
      <c r="D55" s="8" t="n"/>
      <c r="E55" s="8" t="n"/>
      <c r="F55" s="8" t="n"/>
      <c r="G55" s="8" t="n"/>
      <c r="H55" s="13" t="n"/>
    </row>
    <row r="56">
      <c r="A56" s="13" t="n"/>
      <c r="B56" s="8" t="n"/>
      <c r="C56" s="8" t="n"/>
      <c r="D56" s="8" t="n"/>
      <c r="E56" s="8" t="n"/>
      <c r="F56" s="8" t="n"/>
      <c r="G56" s="8" t="n"/>
      <c r="H56" s="13" t="n"/>
    </row>
    <row r="57">
      <c r="A57" s="13" t="n"/>
      <c r="B57" s="8" t="n"/>
      <c r="C57" s="8" t="n"/>
      <c r="D57" s="8" t="n"/>
      <c r="E57" s="8" t="n"/>
      <c r="F57" s="8" t="n"/>
      <c r="G57" s="8" t="n"/>
      <c r="H57" s="13" t="n"/>
    </row>
    <row r="58">
      <c r="A58" s="13" t="n"/>
      <c r="B58" s="8" t="n"/>
      <c r="C58" s="8" t="n"/>
      <c r="D58" s="8" t="n"/>
      <c r="E58" s="8" t="n"/>
      <c r="F58" s="8" t="n"/>
      <c r="G58" s="8" t="n"/>
      <c r="H58" s="13" t="n"/>
    </row>
    <row r="59">
      <c r="A59" s="13" t="n"/>
      <c r="B59" s="8" t="n"/>
      <c r="C59" s="8" t="n"/>
      <c r="D59" s="8" t="n"/>
      <c r="E59" s="8" t="n"/>
      <c r="F59" s="8" t="n"/>
      <c r="G59" s="8" t="n"/>
      <c r="H59" s="13" t="n"/>
    </row>
    <row r="60">
      <c r="A60" s="13" t="n"/>
      <c r="B60" s="8" t="n"/>
      <c r="C60" s="8" t="n"/>
      <c r="D60" s="8" t="n"/>
      <c r="E60" s="8" t="n"/>
      <c r="F60" s="8" t="n"/>
      <c r="G60" s="8" t="n"/>
      <c r="H60" s="13" t="n"/>
    </row>
    <row r="61">
      <c r="A61" s="13" t="n"/>
      <c r="B61" s="8" t="n"/>
      <c r="C61" s="8" t="n"/>
      <c r="D61" s="8" t="n"/>
      <c r="E61" s="8" t="n"/>
      <c r="F61" s="8" t="n"/>
      <c r="G61" s="8" t="n"/>
      <c r="H61" s="13" t="n"/>
    </row>
    <row r="62">
      <c r="A62" s="13" t="n"/>
      <c r="B62" s="8" t="n"/>
      <c r="C62" s="8" t="n"/>
      <c r="D62" s="8" t="n"/>
      <c r="E62" s="8" t="n"/>
      <c r="F62" s="8" t="n"/>
      <c r="G62" s="8" t="n"/>
      <c r="H62" s="13" t="n"/>
    </row>
    <row r="63">
      <c r="A63" s="13" t="n"/>
      <c r="B63" s="8" t="n"/>
      <c r="C63" s="8" t="n"/>
      <c r="D63" s="8" t="n"/>
      <c r="E63" s="8" t="n"/>
      <c r="F63" s="8" t="n"/>
      <c r="G63" s="8" t="n"/>
      <c r="H63" s="13" t="n"/>
    </row>
    <row r="64">
      <c r="A64" s="13" t="n"/>
      <c r="B64" s="8" t="n"/>
      <c r="C64" s="8" t="n"/>
      <c r="D64" s="8" t="n"/>
      <c r="E64" s="8" t="n"/>
      <c r="F64" s="8" t="n"/>
      <c r="G64" s="8" t="n"/>
      <c r="H64" s="13" t="n"/>
    </row>
    <row r="65">
      <c r="A65" s="13" t="n"/>
      <c r="B65" s="8" t="n"/>
      <c r="C65" s="8" t="n"/>
      <c r="D65" s="8" t="n"/>
      <c r="E65" s="8" t="n"/>
      <c r="F65" s="8" t="n"/>
      <c r="G65" s="8" t="n"/>
      <c r="H65" s="13" t="n"/>
    </row>
    <row r="66">
      <c r="A66" s="13" t="n"/>
      <c r="B66" s="8" t="n"/>
      <c r="C66" s="8" t="n"/>
      <c r="D66" s="8" t="n"/>
      <c r="E66" s="8" t="n"/>
      <c r="F66" s="8" t="n"/>
      <c r="G66" s="8" t="n"/>
      <c r="H66" s="13" t="n"/>
    </row>
    <row r="67">
      <c r="A67" s="13" t="n"/>
      <c r="B67" s="8" t="n"/>
      <c r="C67" s="8" t="n"/>
      <c r="D67" s="8" t="n"/>
      <c r="E67" s="8" t="n"/>
      <c r="F67" s="8" t="n"/>
      <c r="G67" s="8" t="n"/>
      <c r="H67" s="13" t="n"/>
    </row>
    <row r="68">
      <c r="A68" s="13" t="n"/>
      <c r="B68" s="8" t="n"/>
      <c r="C68" s="8" t="n"/>
      <c r="D68" s="8" t="n"/>
      <c r="E68" s="8" t="n"/>
      <c r="F68" s="8" t="n"/>
      <c r="G68" s="8" t="n"/>
      <c r="H68" s="13" t="n"/>
    </row>
    <row r="69">
      <c r="A69" s="13" t="n"/>
      <c r="B69" s="8" t="n"/>
      <c r="C69" s="8" t="n"/>
      <c r="D69" s="8" t="n"/>
      <c r="E69" s="8" t="n"/>
      <c r="F69" s="8" t="n"/>
      <c r="G69" s="8" t="n"/>
      <c r="H69" s="13" t="n"/>
    </row>
    <row r="70">
      <c r="A70" s="13" t="n"/>
      <c r="B70" s="8" t="n"/>
      <c r="C70" s="8" t="n"/>
      <c r="D70" s="8" t="n"/>
      <c r="E70" s="8" t="n"/>
      <c r="F70" s="8" t="n"/>
      <c r="G70" s="8" t="n"/>
      <c r="H70" s="13" t="n"/>
    </row>
    <row r="71">
      <c r="A71" s="13" t="n"/>
      <c r="B71" s="8" t="n"/>
      <c r="C71" s="8" t="n"/>
      <c r="D71" s="8" t="n"/>
      <c r="E71" s="8" t="n"/>
      <c r="F71" s="8" t="n"/>
      <c r="G71" s="8" t="n"/>
      <c r="H71" s="13" t="n"/>
    </row>
    <row r="72">
      <c r="A72" s="13" t="n"/>
      <c r="B72" s="8" t="n"/>
      <c r="C72" s="8" t="n"/>
      <c r="D72" s="8" t="n"/>
      <c r="E72" s="8" t="n"/>
      <c r="F72" s="8" t="n"/>
      <c r="G72" s="8" t="n"/>
      <c r="H72" s="13" t="n"/>
    </row>
    <row r="73">
      <c r="A73" s="13" t="n"/>
      <c r="B73" s="8" t="n"/>
      <c r="C73" s="8" t="n"/>
      <c r="D73" s="8" t="n"/>
      <c r="E73" s="8" t="n"/>
      <c r="F73" s="8" t="n"/>
      <c r="G73" s="8" t="n"/>
      <c r="H73" s="13" t="n"/>
    </row>
    <row r="74">
      <c r="A74" s="13" t="n"/>
      <c r="B74" s="8" t="n"/>
      <c r="C74" s="8" t="n"/>
      <c r="D74" s="8" t="n"/>
      <c r="E74" s="8" t="n"/>
      <c r="F74" s="8" t="n"/>
      <c r="G74" s="8" t="n"/>
      <c r="H74" s="13" t="n"/>
    </row>
    <row r="75">
      <c r="A75" s="13" t="n"/>
      <c r="B75" s="8" t="n"/>
      <c r="C75" s="8" t="n"/>
      <c r="D75" s="8" t="n"/>
      <c r="E75" s="8" t="n"/>
      <c r="F75" s="8" t="n"/>
      <c r="G75" s="8" t="n"/>
      <c r="H75" s="13" t="n"/>
    </row>
    <row r="76">
      <c r="A76" s="13" t="n"/>
      <c r="B76" s="8" t="n"/>
      <c r="C76" s="8" t="n"/>
      <c r="D76" s="8" t="n"/>
      <c r="E76" s="8" t="n"/>
      <c r="F76" s="8" t="n"/>
      <c r="G76" s="8" t="n"/>
      <c r="H76" s="13" t="n"/>
    </row>
    <row r="77">
      <c r="A77" s="13" t="n"/>
      <c r="B77" s="8" t="n"/>
      <c r="C77" s="8" t="n"/>
      <c r="D77" s="8" t="n"/>
      <c r="E77" s="8" t="n"/>
      <c r="F77" s="8" t="n"/>
      <c r="G77" s="8" t="n"/>
      <c r="H77" s="13" t="n"/>
    </row>
    <row r="78">
      <c r="A78" s="13" t="n"/>
      <c r="B78" s="8" t="n"/>
      <c r="C78" s="8" t="n"/>
      <c r="D78" s="8" t="n"/>
      <c r="E78" s="8" t="n"/>
      <c r="F78" s="8" t="n"/>
      <c r="G78" s="8" t="n"/>
      <c r="H78" s="13" t="n"/>
    </row>
    <row r="79">
      <c r="A79" s="13" t="n"/>
      <c r="B79" s="8" t="n"/>
      <c r="C79" s="8" t="n"/>
      <c r="D79" s="8" t="n"/>
      <c r="E79" s="8" t="n"/>
      <c r="F79" s="8" t="n"/>
      <c r="G79" s="8" t="n"/>
      <c r="H79" s="13" t="n"/>
    </row>
    <row r="80">
      <c r="A80" s="13" t="n"/>
      <c r="B80" s="8" t="n"/>
      <c r="C80" s="8" t="n"/>
      <c r="D80" s="8" t="n"/>
      <c r="E80" s="8" t="n"/>
      <c r="F80" s="8" t="n"/>
      <c r="G80" s="8" t="n"/>
      <c r="H80" s="13" t="n"/>
    </row>
    <row r="81">
      <c r="A81" s="13" t="n"/>
      <c r="B81" s="8" t="n"/>
      <c r="C81" s="8" t="n"/>
      <c r="D81" s="8" t="n"/>
      <c r="E81" s="8" t="n"/>
      <c r="F81" s="8" t="n"/>
      <c r="G81" s="8" t="n"/>
      <c r="H81" s="13" t="n"/>
    </row>
    <row r="82">
      <c r="A82" s="13" t="n"/>
      <c r="B82" s="8" t="n"/>
      <c r="C82" s="8" t="n"/>
      <c r="D82" s="8" t="n"/>
      <c r="E82" s="8" t="n"/>
      <c r="F82" s="8" t="n"/>
      <c r="G82" s="8" t="n"/>
      <c r="H82" s="13" t="n"/>
    </row>
    <row r="83">
      <c r="A83" s="13" t="n"/>
      <c r="B83" s="8" t="n"/>
      <c r="C83" s="8" t="n"/>
      <c r="D83" s="8" t="n"/>
      <c r="E83" s="8" t="n"/>
      <c r="F83" s="8" t="n"/>
      <c r="G83" s="8" t="n"/>
      <c r="H83" s="13" t="n"/>
    </row>
    <row r="84">
      <c r="A84" s="13" t="n"/>
      <c r="B84" s="8" t="n"/>
      <c r="C84" s="8" t="n"/>
      <c r="D84" s="8" t="n"/>
      <c r="E84" s="8" t="n"/>
      <c r="F84" s="8" t="n"/>
      <c r="G84" s="8" t="n"/>
      <c r="H84" s="13" t="n"/>
    </row>
    <row r="85">
      <c r="A85" s="13" t="n"/>
      <c r="B85" s="8" t="n"/>
      <c r="C85" s="8" t="n"/>
      <c r="D85" s="8" t="n"/>
      <c r="E85" s="8" t="n"/>
      <c r="F85" s="8" t="n"/>
      <c r="G85" s="8" t="n"/>
      <c r="H85" s="13" t="n"/>
    </row>
    <row r="86">
      <c r="A86" s="13" t="n"/>
      <c r="B86" s="8" t="n"/>
      <c r="C86" s="8" t="n"/>
      <c r="D86" s="8" t="n"/>
      <c r="E86" s="8" t="n"/>
      <c r="F86" s="8" t="n"/>
      <c r="G86" s="8" t="n"/>
      <c r="H86" s="13" t="n"/>
    </row>
    <row r="87">
      <c r="A87" s="13" t="n"/>
      <c r="B87" s="8" t="n"/>
      <c r="C87" s="8" t="n"/>
      <c r="D87" s="8" t="n"/>
      <c r="E87" s="8" t="n"/>
      <c r="F87" s="8" t="n"/>
      <c r="G87" s="8" t="n"/>
      <c r="H87" s="13" t="n"/>
    </row>
    <row r="88">
      <c r="A88" s="13" t="n"/>
      <c r="B88" s="8" t="n"/>
      <c r="C88" s="8" t="n"/>
      <c r="D88" s="8" t="n"/>
      <c r="E88" s="8" t="n"/>
      <c r="F88" s="8" t="n"/>
      <c r="G88" s="8" t="n"/>
      <c r="H88" s="13" t="n"/>
    </row>
    <row r="89">
      <c r="A89" s="13" t="n"/>
      <c r="B89" s="8" t="n"/>
      <c r="C89" s="8" t="n"/>
      <c r="D89" s="8" t="n"/>
      <c r="E89" s="8" t="n"/>
      <c r="F89" s="8" t="n"/>
      <c r="G89" s="8" t="n"/>
      <c r="H89" s="13" t="n"/>
    </row>
    <row r="90">
      <c r="A90" s="13" t="n"/>
      <c r="B90" s="8" t="n"/>
      <c r="C90" s="8" t="n"/>
      <c r="D90" s="8" t="n"/>
      <c r="E90" s="8" t="n"/>
      <c r="F90" s="8" t="n"/>
      <c r="G90" s="8" t="n"/>
      <c r="H90" s="13" t="n"/>
    </row>
    <row r="91">
      <c r="A91" s="13" t="n"/>
      <c r="B91" s="8" t="n"/>
      <c r="C91" s="8" t="n"/>
      <c r="D91" s="8" t="n"/>
      <c r="E91" s="8" t="n"/>
      <c r="F91" s="8" t="n"/>
      <c r="G91" s="8" t="n"/>
      <c r="H91" s="13" t="n"/>
    </row>
    <row r="92">
      <c r="A92" s="13" t="n"/>
      <c r="B92" s="8" t="n"/>
      <c r="C92" s="8" t="n"/>
      <c r="D92" s="8" t="n"/>
      <c r="E92" s="8" t="n"/>
      <c r="F92" s="8" t="n"/>
      <c r="G92" s="8" t="n"/>
      <c r="H92" s="13" t="n"/>
    </row>
    <row r="93">
      <c r="A93" s="13" t="n"/>
      <c r="B93" s="8" t="n"/>
      <c r="C93" s="8" t="n"/>
      <c r="D93" s="8" t="n"/>
      <c r="E93" s="8" t="n"/>
      <c r="F93" s="8" t="n"/>
      <c r="G93" s="8" t="n"/>
      <c r="H93" s="13" t="n"/>
    </row>
    <row r="94">
      <c r="A94" s="13" t="n"/>
      <c r="B94" s="8" t="n"/>
      <c r="C94" s="8" t="n"/>
      <c r="D94" s="8" t="n"/>
      <c r="E94" s="8" t="n"/>
      <c r="F94" s="8" t="n"/>
      <c r="G94" s="8" t="n"/>
      <c r="H94" s="13" t="n"/>
    </row>
    <row r="95">
      <c r="A95" s="13" t="n"/>
      <c r="B95" s="8" t="n"/>
      <c r="C95" s="8" t="n"/>
      <c r="D95" s="8" t="n"/>
      <c r="E95" s="8" t="n"/>
      <c r="F95" s="8" t="n"/>
      <c r="G95" s="8" t="n"/>
      <c r="H95" s="13" t="n"/>
    </row>
    <row r="96">
      <c r="A96" s="13" t="n"/>
      <c r="B96" s="8" t="n"/>
      <c r="C96" s="8" t="n"/>
      <c r="D96" s="8" t="n"/>
      <c r="E96" s="8" t="n"/>
      <c r="F96" s="8" t="n"/>
      <c r="G96" s="8" t="n"/>
      <c r="H96" s="13" t="n"/>
    </row>
    <row r="97">
      <c r="A97" s="13" t="n"/>
      <c r="B97" s="8" t="n"/>
      <c r="C97" s="8" t="n"/>
      <c r="D97" s="8" t="n"/>
      <c r="E97" s="8" t="n"/>
      <c r="F97" s="8" t="n"/>
      <c r="G97" s="8" t="n"/>
      <c r="H97" s="13" t="n"/>
    </row>
    <row r="98">
      <c r="A98" s="13" t="n"/>
      <c r="B98" s="8" t="n"/>
      <c r="C98" s="8" t="n"/>
      <c r="D98" s="8" t="n"/>
      <c r="E98" s="8" t="n"/>
      <c r="F98" s="8" t="n"/>
      <c r="G98" s="8" t="n"/>
      <c r="H98" s="13" t="n"/>
    </row>
    <row r="99">
      <c r="A99" s="13" t="n"/>
      <c r="B99" s="8" t="n"/>
      <c r="C99" s="8" t="n"/>
      <c r="D99" s="8" t="n"/>
      <c r="E99" s="8" t="n"/>
      <c r="F99" s="8" t="n"/>
      <c r="G99" s="8" t="n"/>
      <c r="H99" s="13" t="n"/>
    </row>
    <row r="100">
      <c r="A100" s="13" t="n"/>
      <c r="B100" s="8" t="n"/>
      <c r="C100" s="8" t="n"/>
      <c r="D100" s="8" t="n"/>
      <c r="E100" s="8" t="n"/>
      <c r="F100" s="8" t="n"/>
      <c r="G100" s="8" t="n"/>
      <c r="H100" s="13" t="n"/>
    </row>
    <row r="101">
      <c r="A101" s="13" t="n"/>
      <c r="B101" s="8" t="n"/>
      <c r="C101" s="8" t="n"/>
      <c r="D101" s="8" t="n"/>
      <c r="E101" s="8" t="n"/>
      <c r="F101" s="8" t="n"/>
      <c r="G101" s="8" t="n"/>
      <c r="H101" s="13" t="n"/>
    </row>
    <row r="102">
      <c r="A102" s="13" t="n"/>
      <c r="B102" s="8" t="n"/>
      <c r="C102" s="8" t="n"/>
      <c r="D102" s="8" t="n"/>
      <c r="E102" s="8" t="n"/>
      <c r="F102" s="8" t="n"/>
      <c r="G102" s="8" t="n"/>
      <c r="H102" s="13" t="n"/>
    </row>
    <row r="103">
      <c r="A103" s="13" t="n"/>
      <c r="B103" s="8" t="n"/>
      <c r="C103" s="8" t="n"/>
      <c r="D103" s="8" t="n"/>
      <c r="E103" s="8" t="n"/>
      <c r="F103" s="8" t="n"/>
      <c r="G103" s="8" t="n"/>
      <c r="H103" s="13" t="n"/>
    </row>
    <row r="104">
      <c r="A104" s="13" t="n"/>
      <c r="B104" s="8" t="n"/>
      <c r="C104" s="8" t="n"/>
      <c r="D104" s="8" t="n"/>
      <c r="E104" s="8" t="n"/>
      <c r="F104" s="8" t="n"/>
      <c r="G104" s="8" t="n"/>
      <c r="H104" s="13" t="n"/>
    </row>
    <row r="105">
      <c r="A105" s="13" t="n"/>
      <c r="B105" s="8" t="n"/>
      <c r="C105" s="8" t="n"/>
      <c r="D105" s="8" t="n"/>
      <c r="E105" s="8" t="n"/>
      <c r="F105" s="8" t="n"/>
      <c r="G105" s="8" t="n"/>
      <c r="H105" s="13" t="n"/>
    </row>
    <row r="106">
      <c r="A106" s="13" t="n"/>
      <c r="B106" s="8" t="n"/>
      <c r="C106" s="8" t="n"/>
      <c r="D106" s="8" t="n"/>
      <c r="E106" s="8" t="n"/>
      <c r="F106" s="8" t="n"/>
      <c r="G106" s="8" t="n"/>
      <c r="H106" s="13" t="n"/>
    </row>
    <row r="107">
      <c r="A107" s="13" t="n"/>
      <c r="B107" s="8" t="n"/>
      <c r="C107" s="8" t="n"/>
      <c r="D107" s="8" t="n"/>
      <c r="E107" s="8" t="n"/>
      <c r="F107" s="8" t="n"/>
      <c r="G107" s="8" t="n"/>
      <c r="H107" s="13" t="n"/>
    </row>
    <row r="108">
      <c r="A108" s="13" t="n"/>
      <c r="B108" s="8" t="n"/>
      <c r="C108" s="8" t="n"/>
      <c r="D108" s="8" t="n"/>
      <c r="E108" s="8" t="n"/>
      <c r="F108" s="8" t="n"/>
      <c r="G108" s="8" t="n"/>
      <c r="H108" s="13" t="n"/>
    </row>
    <row r="109">
      <c r="A109" s="13" t="n"/>
      <c r="B109" s="8" t="n"/>
      <c r="C109" s="8" t="n"/>
      <c r="D109" s="8" t="n"/>
      <c r="E109" s="8" t="n"/>
      <c r="F109" s="8" t="n"/>
      <c r="G109" s="8" t="n"/>
      <c r="H109" s="13" t="n"/>
    </row>
    <row r="110">
      <c r="A110" s="13" t="n"/>
      <c r="B110" s="8" t="n"/>
      <c r="C110" s="8" t="n"/>
      <c r="D110" s="8" t="n"/>
      <c r="E110" s="8" t="n"/>
      <c r="F110" s="8" t="n"/>
      <c r="G110" s="8" t="n"/>
      <c r="H110" s="13" t="n"/>
    </row>
    <row r="111">
      <c r="A111" s="13" t="n"/>
      <c r="B111" s="8" t="n"/>
      <c r="C111" s="8" t="n"/>
      <c r="D111" s="8" t="n"/>
      <c r="E111" s="8" t="n"/>
      <c r="F111" s="8" t="n"/>
      <c r="G111" s="8" t="n"/>
      <c r="H111" s="13" t="n"/>
    </row>
    <row r="112">
      <c r="A112" s="13" t="n"/>
      <c r="B112" s="8" t="n"/>
      <c r="C112" s="8" t="n"/>
      <c r="D112" s="8" t="n"/>
      <c r="E112" s="8" t="n"/>
      <c r="F112" s="8" t="n"/>
      <c r="G112" s="8" t="n"/>
      <c r="H112" s="13" t="n"/>
    </row>
    <row r="113">
      <c r="A113" s="13" t="n"/>
      <c r="B113" s="8" t="n"/>
      <c r="C113" s="8" t="n"/>
      <c r="D113" s="8" t="n"/>
      <c r="E113" s="8" t="n"/>
      <c r="F113" s="8" t="n"/>
      <c r="G113" s="8" t="n"/>
      <c r="H113" s="13" t="n"/>
    </row>
    <row r="114">
      <c r="A114" s="13" t="n"/>
      <c r="B114" s="8" t="n"/>
      <c r="C114" s="8" t="n"/>
      <c r="D114" s="8" t="n"/>
      <c r="E114" s="8" t="n"/>
      <c r="F114" s="8" t="n"/>
      <c r="G114" s="8" t="n"/>
      <c r="H114" s="13" t="n"/>
    </row>
    <row r="115">
      <c r="A115" s="13" t="n"/>
      <c r="B115" s="8" t="n"/>
      <c r="C115" s="8" t="n"/>
      <c r="D115" s="8" t="n"/>
      <c r="E115" s="8" t="n"/>
      <c r="F115" s="8" t="n"/>
      <c r="G115" s="8" t="n"/>
      <c r="H115" s="13" t="n"/>
    </row>
    <row r="116">
      <c r="A116" s="13" t="n"/>
      <c r="B116" s="8" t="n"/>
      <c r="C116" s="8" t="n"/>
      <c r="D116" s="8" t="n"/>
      <c r="E116" s="8" t="n"/>
      <c r="F116" s="8" t="n"/>
      <c r="G116" s="8" t="n"/>
      <c r="H116" s="13" t="n"/>
    </row>
    <row r="117">
      <c r="A117" s="13" t="n"/>
      <c r="B117" s="8" t="n"/>
      <c r="C117" s="8" t="n"/>
      <c r="D117" s="8" t="n"/>
      <c r="E117" s="8" t="n"/>
      <c r="F117" s="8" t="n"/>
      <c r="G117" s="8" t="n"/>
      <c r="H117" s="13" t="n"/>
    </row>
    <row r="118">
      <c r="A118" s="13" t="n"/>
      <c r="B118" s="8" t="n"/>
      <c r="C118" s="8" t="n"/>
      <c r="D118" s="8" t="n"/>
      <c r="E118" s="8" t="n"/>
      <c r="F118" s="8" t="n"/>
      <c r="G118" s="8" t="n"/>
      <c r="H118" s="13" t="n"/>
    </row>
    <row r="119">
      <c r="A119" s="13" t="n"/>
      <c r="B119" s="8" t="n"/>
      <c r="C119" s="8" t="n"/>
      <c r="D119" s="8" t="n"/>
      <c r="E119" s="8" t="n"/>
      <c r="F119" s="8" t="n"/>
      <c r="G119" s="8" t="n"/>
      <c r="H119" s="13" t="n"/>
    </row>
    <row r="120">
      <c r="A120" s="13" t="n"/>
      <c r="B120" s="8" t="n"/>
      <c r="C120" s="8" t="n"/>
      <c r="D120" s="8" t="n"/>
      <c r="E120" s="8" t="n"/>
      <c r="F120" s="8" t="n"/>
      <c r="G120" s="8" t="n"/>
      <c r="H120" s="13" t="n"/>
    </row>
    <row r="121">
      <c r="A121" s="13" t="n"/>
      <c r="B121" s="8" t="n"/>
      <c r="C121" s="8" t="n"/>
      <c r="D121" s="8" t="n"/>
      <c r="E121" s="8" t="n"/>
      <c r="F121" s="8" t="n"/>
      <c r="G121" s="8" t="n"/>
      <c r="H121" s="13" t="n"/>
    </row>
    <row r="122">
      <c r="A122" s="13" t="n"/>
      <c r="B122" s="8" t="n"/>
      <c r="C122" s="8" t="n"/>
      <c r="D122" s="8" t="n"/>
      <c r="E122" s="8" t="n"/>
      <c r="F122" s="8" t="n"/>
      <c r="G122" s="8" t="n"/>
      <c r="H122" s="13" t="n"/>
    </row>
    <row r="123">
      <c r="A123" s="13" t="n"/>
      <c r="B123" s="8" t="n"/>
      <c r="C123" s="8" t="n"/>
      <c r="D123" s="8" t="n"/>
      <c r="E123" s="8" t="n"/>
      <c r="F123" s="8" t="n"/>
      <c r="G123" s="8" t="n"/>
      <c r="H123" s="13" t="n"/>
    </row>
    <row r="124">
      <c r="A124" s="13" t="n"/>
      <c r="B124" s="8" t="n"/>
      <c r="C124" s="8" t="n"/>
      <c r="D124" s="8" t="n"/>
      <c r="E124" s="8" t="n"/>
      <c r="F124" s="8" t="n"/>
      <c r="G124" s="8" t="n"/>
      <c r="H124" s="13" t="n"/>
    </row>
    <row r="125">
      <c r="A125" s="13" t="n"/>
      <c r="B125" s="8" t="n"/>
      <c r="C125" s="8" t="n"/>
      <c r="D125" s="8" t="n"/>
      <c r="E125" s="8" t="n"/>
      <c r="F125" s="8" t="n"/>
      <c r="G125" s="8" t="n"/>
      <c r="H125" s="13" t="n"/>
    </row>
    <row r="126">
      <c r="A126" s="13" t="n"/>
      <c r="B126" s="8" t="n"/>
      <c r="C126" s="8" t="n"/>
      <c r="D126" s="8" t="n"/>
      <c r="E126" s="8" t="n"/>
      <c r="F126" s="8" t="n"/>
      <c r="G126" s="8" t="n"/>
      <c r="H126" s="13" t="n"/>
    </row>
    <row r="127">
      <c r="A127" s="13" t="n"/>
      <c r="B127" s="8" t="n"/>
      <c r="C127" s="8" t="n"/>
      <c r="D127" s="8" t="n"/>
      <c r="E127" s="8" t="n"/>
      <c r="F127" s="8" t="n"/>
      <c r="G127" s="8" t="n"/>
      <c r="H127" s="13" t="n"/>
    </row>
    <row r="128">
      <c r="A128" s="13" t="n"/>
      <c r="B128" s="8" t="n"/>
      <c r="C128" s="8" t="n"/>
      <c r="D128" s="8" t="n"/>
      <c r="E128" s="8" t="n"/>
      <c r="F128" s="8" t="n"/>
      <c r="G128" s="8" t="n"/>
      <c r="H128" s="13" t="n"/>
    </row>
    <row r="129">
      <c r="A129" s="13" t="n"/>
      <c r="B129" s="8" t="n"/>
      <c r="C129" s="8" t="n"/>
      <c r="D129" s="8" t="n"/>
      <c r="E129" s="8" t="n"/>
      <c r="F129" s="8" t="n"/>
      <c r="G129" s="8" t="n"/>
      <c r="H129" s="13" t="n"/>
    </row>
    <row r="130">
      <c r="A130" s="13" t="n"/>
      <c r="B130" s="8" t="n"/>
      <c r="C130" s="8" t="n"/>
      <c r="D130" s="8" t="n"/>
      <c r="E130" s="8" t="n"/>
      <c r="F130" s="8" t="n"/>
      <c r="G130" s="8" t="n"/>
      <c r="H130" s="13" t="n"/>
    </row>
    <row r="131">
      <c r="A131" s="13" t="n"/>
      <c r="B131" s="8" t="n"/>
      <c r="C131" s="8" t="n"/>
      <c r="D131" s="8" t="n"/>
      <c r="E131" s="8" t="n"/>
      <c r="F131" s="8" t="n"/>
      <c r="G131" s="8" t="n"/>
      <c r="H131" s="13" t="n"/>
    </row>
    <row r="132">
      <c r="A132" s="13" t="n"/>
      <c r="B132" s="8" t="n"/>
      <c r="C132" s="8" t="n"/>
      <c r="D132" s="8" t="n"/>
      <c r="E132" s="8" t="n"/>
      <c r="F132" s="8" t="n"/>
      <c r="G132" s="8" t="n"/>
      <c r="H132" s="13" t="n"/>
    </row>
    <row r="133">
      <c r="A133" s="13" t="n"/>
      <c r="B133" s="8" t="n"/>
      <c r="C133" s="8" t="n"/>
      <c r="D133" s="8" t="n"/>
      <c r="E133" s="8" t="n"/>
      <c r="F133" s="8" t="n"/>
      <c r="G133" s="8" t="n"/>
      <c r="H133" s="13" t="n"/>
    </row>
    <row r="134">
      <c r="A134" s="13" t="n"/>
      <c r="B134" s="8" t="n"/>
      <c r="C134" s="8" t="n"/>
      <c r="D134" s="8" t="n"/>
      <c r="E134" s="8" t="n"/>
      <c r="F134" s="8" t="n"/>
      <c r="G134" s="8" t="n"/>
      <c r="H134" s="13" t="n"/>
    </row>
    <row r="135">
      <c r="A135" s="13" t="n"/>
      <c r="B135" s="8" t="n"/>
      <c r="C135" s="8" t="n"/>
      <c r="D135" s="8" t="n"/>
      <c r="E135" s="8" t="n"/>
      <c r="F135" s="8" t="n"/>
      <c r="G135" s="8" t="n"/>
      <c r="H135" s="13" t="n"/>
    </row>
    <row r="136">
      <c r="A136" s="13" t="n"/>
      <c r="B136" s="8" t="n"/>
      <c r="C136" s="8" t="n"/>
      <c r="D136" s="8" t="n"/>
      <c r="E136" s="8" t="n"/>
      <c r="F136" s="8" t="n"/>
      <c r="G136" s="8" t="n"/>
      <c r="H136" s="13" t="n"/>
    </row>
    <row r="137">
      <c r="A137" s="13" t="n"/>
      <c r="B137" s="8" t="n"/>
      <c r="C137" s="8" t="n"/>
      <c r="D137" s="8" t="n"/>
      <c r="E137" s="8" t="n"/>
      <c r="F137" s="8" t="n"/>
      <c r="G137" s="8" t="n"/>
      <c r="H137" s="13" t="n"/>
    </row>
    <row r="138">
      <c r="A138" s="13" t="n"/>
      <c r="B138" s="8" t="n"/>
      <c r="C138" s="8" t="n"/>
      <c r="D138" s="8" t="n"/>
      <c r="E138" s="8" t="n"/>
      <c r="F138" s="8" t="n"/>
      <c r="G138" s="8" t="n"/>
      <c r="H138" s="13" t="n"/>
    </row>
    <row r="139">
      <c r="A139" s="13" t="n"/>
      <c r="B139" s="8" t="n"/>
      <c r="C139" s="8" t="n"/>
      <c r="D139" s="8" t="n"/>
      <c r="E139" s="8" t="n"/>
      <c r="F139" s="8" t="n"/>
      <c r="G139" s="8" t="n"/>
      <c r="H139" s="13" t="n"/>
    </row>
    <row r="140">
      <c r="A140" s="13" t="n"/>
      <c r="B140" s="8" t="n"/>
      <c r="C140" s="8" t="n"/>
      <c r="D140" s="8" t="n"/>
      <c r="E140" s="8" t="n"/>
      <c r="F140" s="8" t="n"/>
      <c r="G140" s="8" t="n"/>
      <c r="H140" s="13" t="n"/>
    </row>
    <row r="141">
      <c r="A141" s="13" t="n"/>
      <c r="B141" s="8" t="n"/>
      <c r="C141" s="8" t="n"/>
      <c r="D141" s="8" t="n"/>
      <c r="E141" s="8" t="n"/>
      <c r="F141" s="8" t="n"/>
      <c r="G141" s="8" t="n"/>
      <c r="H141" s="13" t="n"/>
    </row>
    <row r="142">
      <c r="A142" s="13" t="n"/>
      <c r="B142" s="8" t="n"/>
      <c r="C142" s="8" t="n"/>
      <c r="D142" s="8" t="n"/>
      <c r="E142" s="8" t="n"/>
      <c r="F142" s="8" t="n"/>
      <c r="G142" s="8" t="n"/>
      <c r="H142" s="13" t="n"/>
    </row>
    <row r="143">
      <c r="A143" s="13" t="n"/>
      <c r="B143" s="8" t="n"/>
      <c r="C143" s="8" t="n"/>
      <c r="D143" s="8" t="n"/>
      <c r="E143" s="8" t="n"/>
      <c r="F143" s="8" t="n"/>
      <c r="G143" s="8" t="n"/>
      <c r="H143" s="13" t="n"/>
    </row>
    <row r="144">
      <c r="A144" s="13" t="n"/>
      <c r="B144" s="8" t="n"/>
      <c r="C144" s="8" t="n"/>
      <c r="D144" s="8" t="n"/>
      <c r="E144" s="8" t="n"/>
      <c r="F144" s="8" t="n"/>
      <c r="G144" s="8" t="n"/>
      <c r="H144" s="13" t="n"/>
    </row>
    <row r="145">
      <c r="A145" s="13" t="n"/>
      <c r="B145" s="8" t="n"/>
      <c r="C145" s="8" t="n"/>
      <c r="D145" s="8" t="n"/>
      <c r="E145" s="8" t="n"/>
      <c r="F145" s="8" t="n"/>
      <c r="G145" s="8" t="n"/>
      <c r="H145" s="13" t="n"/>
    </row>
    <row r="146">
      <c r="A146" s="13" t="n"/>
      <c r="B146" s="8" t="n"/>
      <c r="C146" s="8" t="n"/>
      <c r="D146" s="8" t="n"/>
      <c r="E146" s="8" t="n"/>
      <c r="F146" s="8" t="n"/>
      <c r="G146" s="8" t="n"/>
      <c r="H146" s="13" t="n"/>
    </row>
    <row r="147">
      <c r="A147" s="13" t="n"/>
      <c r="B147" s="8" t="n"/>
      <c r="C147" s="8" t="n"/>
      <c r="D147" s="8" t="n"/>
      <c r="E147" s="8" t="n"/>
      <c r="F147" s="8" t="n"/>
      <c r="G147" s="8" t="n"/>
      <c r="H147" s="13" t="n"/>
    </row>
    <row r="148">
      <c r="A148" s="13" t="n"/>
      <c r="B148" s="8" t="n"/>
      <c r="C148" s="8" t="n"/>
      <c r="D148" s="8" t="n"/>
      <c r="E148" s="8" t="n"/>
      <c r="F148" s="8" t="n"/>
      <c r="G148" s="8" t="n"/>
      <c r="H148" s="13" t="n"/>
    </row>
    <row r="149">
      <c r="A149" s="13" t="n"/>
      <c r="B149" s="8" t="n"/>
      <c r="C149" s="8" t="n"/>
      <c r="D149" s="8" t="n"/>
      <c r="E149" s="8" t="n"/>
      <c r="F149" s="8" t="n"/>
      <c r="G149" s="8" t="n"/>
      <c r="H149" s="13" t="n"/>
    </row>
    <row r="150">
      <c r="A150" s="13" t="n"/>
      <c r="B150" s="8" t="n"/>
      <c r="C150" s="8" t="n"/>
      <c r="D150" s="8" t="n"/>
      <c r="E150" s="8" t="n"/>
      <c r="F150" s="8" t="n"/>
      <c r="G150" s="8" t="n"/>
      <c r="H150" s="13" t="n"/>
    </row>
    <row r="151">
      <c r="A151" s="13" t="n"/>
      <c r="B151" s="8" t="n"/>
      <c r="C151" s="8" t="n"/>
      <c r="D151" s="8" t="n"/>
      <c r="E151" s="8" t="n"/>
      <c r="F151" s="8" t="n"/>
      <c r="G151" s="8" t="n"/>
      <c r="H151" s="13" t="n"/>
    </row>
    <row r="152">
      <c r="A152" s="13" t="n"/>
      <c r="B152" s="8" t="n"/>
      <c r="C152" s="8" t="n"/>
      <c r="D152" s="8" t="n"/>
      <c r="E152" s="8" t="n"/>
      <c r="F152" s="8" t="n"/>
      <c r="G152" s="8" t="n"/>
      <c r="H152" s="13" t="n"/>
    </row>
    <row r="153">
      <c r="A153" s="13" t="n"/>
      <c r="B153" s="8" t="n"/>
      <c r="C153" s="8" t="n"/>
      <c r="D153" s="8" t="n"/>
      <c r="E153" s="8" t="n"/>
      <c r="F153" s="8" t="n"/>
      <c r="G153" s="8" t="n"/>
      <c r="H153" s="13" t="n"/>
    </row>
    <row r="154">
      <c r="A154" s="13" t="n"/>
      <c r="B154" s="8" t="n"/>
      <c r="C154" s="8" t="n"/>
      <c r="D154" s="8" t="n"/>
      <c r="E154" s="8" t="n"/>
      <c r="F154" s="8" t="n"/>
      <c r="G154" s="8" t="n"/>
      <c r="H154" s="13" t="n"/>
    </row>
    <row r="155">
      <c r="A155" s="13" t="n"/>
      <c r="B155" s="8" t="n"/>
      <c r="C155" s="8" t="n"/>
      <c r="D155" s="8" t="n"/>
      <c r="E155" s="8" t="n"/>
      <c r="F155" s="8" t="n"/>
      <c r="G155" s="8" t="n"/>
      <c r="H155" s="13" t="n"/>
    </row>
    <row r="156">
      <c r="A156" s="13" t="n"/>
      <c r="B156" s="8" t="n"/>
      <c r="C156" s="8" t="n"/>
      <c r="D156" s="8" t="n"/>
      <c r="E156" s="8" t="n"/>
      <c r="F156" s="8" t="n"/>
      <c r="G156" s="8" t="n"/>
      <c r="H156" s="13" t="n"/>
    </row>
    <row r="157">
      <c r="A157" s="13" t="n"/>
      <c r="B157" s="8" t="n"/>
      <c r="C157" s="8" t="n"/>
      <c r="D157" s="8" t="n"/>
      <c r="E157" s="8" t="n"/>
      <c r="F157" s="8" t="n"/>
      <c r="G157" s="8" t="n"/>
      <c r="H157" s="13" t="n"/>
    </row>
    <row r="158">
      <c r="A158" s="13" t="n"/>
      <c r="B158" s="8" t="n"/>
      <c r="C158" s="8" t="n"/>
      <c r="D158" s="8" t="n"/>
      <c r="E158" s="8" t="n"/>
      <c r="F158" s="8" t="n"/>
      <c r="G158" s="8" t="n"/>
      <c r="H158" s="13" t="n"/>
    </row>
    <row r="159">
      <c r="A159" s="13" t="n"/>
      <c r="B159" s="8" t="n"/>
      <c r="C159" s="8" t="n"/>
      <c r="D159" s="8" t="n"/>
      <c r="E159" s="8" t="n"/>
      <c r="F159" s="8" t="n"/>
      <c r="G159" s="8" t="n"/>
      <c r="H159" s="13" t="n"/>
    </row>
    <row r="160">
      <c r="A160" s="13" t="n"/>
      <c r="B160" s="8" t="n"/>
      <c r="C160" s="8" t="n"/>
      <c r="D160" s="8" t="n"/>
      <c r="E160" s="8" t="n"/>
      <c r="F160" s="8" t="n"/>
      <c r="G160" s="8" t="n"/>
      <c r="H160" s="13" t="n"/>
    </row>
    <row r="161">
      <c r="A161" s="13" t="n"/>
      <c r="B161" s="8" t="n"/>
      <c r="C161" s="8" t="n"/>
      <c r="D161" s="8" t="n"/>
      <c r="E161" s="8" t="n"/>
      <c r="F161" s="8" t="n"/>
      <c r="G161" s="8" t="n"/>
      <c r="H161" s="13" t="n"/>
    </row>
    <row r="162">
      <c r="A162" s="13" t="n"/>
      <c r="B162" s="8" t="n"/>
      <c r="C162" s="8" t="n"/>
      <c r="D162" s="8" t="n"/>
      <c r="E162" s="8" t="n"/>
      <c r="F162" s="8" t="n"/>
      <c r="G162" s="8" t="n"/>
      <c r="H162" s="13" t="n"/>
    </row>
    <row r="163">
      <c r="A163" s="13" t="n"/>
      <c r="B163" s="8" t="n"/>
      <c r="C163" s="8" t="n"/>
      <c r="D163" s="8" t="n"/>
      <c r="E163" s="8" t="n"/>
      <c r="F163" s="8" t="n"/>
      <c r="G163" s="8" t="n"/>
      <c r="H163" s="13" t="n"/>
    </row>
    <row r="164">
      <c r="A164" s="13" t="n"/>
      <c r="B164" s="8" t="n"/>
      <c r="C164" s="8" t="n"/>
      <c r="D164" s="8" t="n"/>
      <c r="E164" s="8" t="n"/>
      <c r="F164" s="8" t="n"/>
      <c r="G164" s="8" t="n"/>
      <c r="H164" s="13" t="n"/>
    </row>
    <row r="165">
      <c r="A165" s="13" t="n"/>
      <c r="B165" s="8" t="n"/>
      <c r="C165" s="8" t="n"/>
      <c r="D165" s="8" t="n"/>
      <c r="E165" s="8" t="n"/>
      <c r="F165" s="8" t="n"/>
      <c r="G165" s="8" t="n"/>
      <c r="H165" s="13" t="n"/>
    </row>
    <row r="166">
      <c r="A166" s="13" t="n"/>
      <c r="B166" s="8" t="n"/>
      <c r="C166" s="8" t="n"/>
      <c r="D166" s="8" t="n"/>
      <c r="E166" s="8" t="n"/>
      <c r="F166" s="8" t="n"/>
      <c r="G166" s="8" t="n"/>
      <c r="H166" s="13" t="n"/>
    </row>
    <row r="167">
      <c r="A167" s="13" t="n"/>
      <c r="B167" s="8" t="n"/>
      <c r="C167" s="8" t="n"/>
      <c r="D167" s="8" t="n"/>
      <c r="E167" s="8" t="n"/>
      <c r="F167" s="8" t="n"/>
      <c r="G167" s="8" t="n"/>
      <c r="H167" s="13" t="n"/>
    </row>
    <row r="168">
      <c r="A168" s="13" t="n"/>
      <c r="B168" s="8" t="n"/>
      <c r="C168" s="8" t="n"/>
      <c r="D168" s="8" t="n"/>
      <c r="E168" s="8" t="n"/>
      <c r="F168" s="8" t="n"/>
      <c r="G168" s="8" t="n"/>
      <c r="H168" s="13" t="n"/>
    </row>
    <row r="169">
      <c r="A169" s="13" t="n"/>
      <c r="B169" s="8" t="n"/>
      <c r="C169" s="8" t="n"/>
      <c r="D169" s="8" t="n"/>
      <c r="E169" s="8" t="n"/>
      <c r="F169" s="8" t="n"/>
      <c r="G169" s="8" t="n"/>
      <c r="H169" s="13" t="n"/>
    </row>
    <row r="170">
      <c r="A170" s="13" t="n"/>
      <c r="B170" s="8" t="n"/>
      <c r="C170" s="8" t="n"/>
      <c r="D170" s="8" t="n"/>
      <c r="E170" s="8" t="n"/>
      <c r="F170" s="8" t="n"/>
      <c r="G170" s="8" t="n"/>
      <c r="H170" s="13" t="n"/>
    </row>
    <row r="171">
      <c r="A171" s="13" t="n"/>
      <c r="B171" s="8" t="n"/>
      <c r="C171" s="8" t="n"/>
      <c r="D171" s="8" t="n"/>
      <c r="E171" s="8" t="n"/>
      <c r="F171" s="8" t="n"/>
      <c r="G171" s="8" t="n"/>
      <c r="H171" s="13" t="n"/>
    </row>
    <row r="172">
      <c r="A172" s="13" t="n"/>
      <c r="B172" s="8" t="n"/>
      <c r="C172" s="8" t="n"/>
      <c r="D172" s="8" t="n"/>
      <c r="E172" s="8" t="n"/>
      <c r="F172" s="8" t="n"/>
      <c r="G172" s="8" t="n"/>
      <c r="H172" s="13" t="n"/>
    </row>
    <row r="173">
      <c r="A173" s="13" t="n"/>
      <c r="B173" s="8" t="n"/>
      <c r="C173" s="8" t="n"/>
      <c r="D173" s="8" t="n"/>
      <c r="E173" s="8" t="n"/>
      <c r="F173" s="8" t="n"/>
      <c r="G173" s="8" t="n"/>
      <c r="H173" s="13" t="n"/>
    </row>
    <row r="174">
      <c r="A174" s="13" t="n"/>
      <c r="B174" s="8" t="n"/>
      <c r="C174" s="8" t="n"/>
      <c r="D174" s="8" t="n"/>
      <c r="E174" s="8" t="n"/>
      <c r="F174" s="8" t="n"/>
      <c r="G174" s="8" t="n"/>
      <c r="H174" s="13" t="n"/>
    </row>
    <row r="175">
      <c r="A175" s="13" t="n"/>
      <c r="B175" s="8" t="n"/>
      <c r="C175" s="8" t="n"/>
      <c r="D175" s="8" t="n"/>
      <c r="E175" s="8" t="n"/>
      <c r="F175" s="8" t="n"/>
      <c r="G175" s="8" t="n"/>
      <c r="H175" s="13" t="n"/>
    </row>
    <row r="176">
      <c r="A176" s="13" t="n"/>
      <c r="B176" s="8" t="n"/>
      <c r="C176" s="8" t="n"/>
      <c r="D176" s="8" t="n"/>
      <c r="E176" s="8" t="n"/>
      <c r="F176" s="8" t="n"/>
      <c r="G176" s="8" t="n"/>
      <c r="H176" s="13" t="n"/>
    </row>
    <row r="177">
      <c r="A177" s="13" t="n"/>
      <c r="B177" s="8" t="n"/>
      <c r="C177" s="8" t="n"/>
      <c r="D177" s="8" t="n"/>
      <c r="E177" s="8" t="n"/>
      <c r="F177" s="8" t="n"/>
      <c r="G177" s="8" t="n"/>
      <c r="H177" s="13" t="n"/>
    </row>
    <row r="178">
      <c r="A178" s="13" t="n"/>
      <c r="B178" s="8" t="n"/>
      <c r="C178" s="8" t="n"/>
      <c r="D178" s="8" t="n"/>
      <c r="E178" s="8" t="n"/>
      <c r="F178" s="8" t="n"/>
      <c r="G178" s="8" t="n"/>
      <c r="H178" s="13" t="n"/>
    </row>
    <row r="179">
      <c r="A179" s="13" t="n"/>
      <c r="B179" s="8" t="n"/>
      <c r="C179" s="8" t="n"/>
      <c r="D179" s="8" t="n"/>
      <c r="E179" s="8" t="n"/>
      <c r="F179" s="8" t="n"/>
      <c r="G179" s="8" t="n"/>
      <c r="H179" s="13" t="n"/>
    </row>
    <row r="180">
      <c r="A180" s="13" t="n"/>
      <c r="B180" s="8" t="n"/>
      <c r="C180" s="8" t="n"/>
      <c r="D180" s="8" t="n"/>
      <c r="E180" s="8" t="n"/>
      <c r="F180" s="8" t="n"/>
      <c r="G180" s="8" t="n"/>
      <c r="H180" s="13" t="n"/>
    </row>
    <row r="181">
      <c r="A181" s="13" t="n"/>
      <c r="B181" s="8" t="n"/>
      <c r="C181" s="8" t="n"/>
      <c r="D181" s="8" t="n"/>
      <c r="E181" s="8" t="n"/>
      <c r="F181" s="8" t="n"/>
      <c r="G181" s="8" t="n"/>
      <c r="H181" s="13" t="n"/>
    </row>
    <row r="182">
      <c r="A182" s="13" t="n"/>
      <c r="B182" s="8" t="n"/>
      <c r="C182" s="8" t="n"/>
      <c r="D182" s="8" t="n"/>
      <c r="E182" s="8" t="n"/>
      <c r="F182" s="8" t="n"/>
      <c r="G182" s="8" t="n"/>
      <c r="H182" s="13" t="n"/>
    </row>
    <row r="183">
      <c r="A183" s="13" t="n"/>
      <c r="B183" s="8" t="n"/>
      <c r="C183" s="8" t="n"/>
      <c r="D183" s="8" t="n"/>
      <c r="E183" s="8" t="n"/>
      <c r="F183" s="8" t="n"/>
      <c r="G183" s="8" t="n"/>
      <c r="H183" s="13" t="n"/>
    </row>
    <row r="184">
      <c r="A184" s="13" t="n"/>
      <c r="B184" s="8" t="n"/>
      <c r="C184" s="8" t="n"/>
      <c r="D184" s="8" t="n"/>
      <c r="E184" s="8" t="n"/>
      <c r="F184" s="8" t="n"/>
      <c r="G184" s="8" t="n"/>
      <c r="H184" s="13" t="n"/>
    </row>
    <row r="185">
      <c r="A185" s="13" t="n"/>
      <c r="B185" s="8" t="n"/>
      <c r="C185" s="8" t="n"/>
      <c r="D185" s="8" t="n"/>
      <c r="E185" s="8" t="n"/>
      <c r="F185" s="8" t="n"/>
      <c r="G185" s="8" t="n"/>
      <c r="H185" s="13" t="n"/>
    </row>
    <row r="186">
      <c r="A186" s="13" t="n"/>
      <c r="B186" s="8" t="n"/>
      <c r="C186" s="8" t="n"/>
      <c r="D186" s="8" t="n"/>
      <c r="E186" s="8" t="n"/>
      <c r="F186" s="8" t="n"/>
      <c r="G186" s="8" t="n"/>
      <c r="H186" s="13" t="n"/>
    </row>
    <row r="187">
      <c r="A187" s="13" t="n"/>
      <c r="B187" s="8" t="n"/>
      <c r="C187" s="8" t="n"/>
      <c r="D187" s="8" t="n"/>
      <c r="E187" s="8" t="n"/>
      <c r="F187" s="8" t="n"/>
      <c r="G187" s="8" t="n"/>
      <c r="H187" s="13" t="n"/>
    </row>
    <row r="188">
      <c r="A188" s="13" t="n"/>
      <c r="B188" s="8" t="n"/>
      <c r="C188" s="8" t="n"/>
      <c r="D188" s="8" t="n"/>
      <c r="E188" s="8" t="n"/>
      <c r="F188" s="8" t="n"/>
      <c r="G188" s="8" t="n"/>
      <c r="H188" s="13" t="n"/>
    </row>
    <row r="189">
      <c r="A189" s="13" t="n"/>
      <c r="B189" s="8" t="n"/>
      <c r="C189" s="8" t="n"/>
      <c r="D189" s="8" t="n"/>
      <c r="E189" s="8" t="n"/>
      <c r="F189" s="8" t="n"/>
      <c r="G189" s="8" t="n"/>
      <c r="H189" s="13" t="n"/>
    </row>
    <row r="190">
      <c r="A190" s="13" t="n"/>
      <c r="B190" s="8" t="n"/>
      <c r="C190" s="8" t="n"/>
      <c r="D190" s="8" t="n"/>
      <c r="E190" s="8" t="n"/>
      <c r="F190" s="8" t="n"/>
      <c r="G190" s="8" t="n"/>
      <c r="H190" s="13" t="n"/>
    </row>
    <row r="191">
      <c r="A191" s="13" t="n"/>
      <c r="B191" s="8" t="n"/>
      <c r="C191" s="8" t="n"/>
      <c r="D191" s="8" t="n"/>
      <c r="E191" s="8" t="n"/>
      <c r="F191" s="8" t="n"/>
      <c r="G191" s="8" t="n"/>
      <c r="H191" s="13" t="n"/>
    </row>
    <row r="192">
      <c r="A192" s="13" t="n"/>
      <c r="B192" s="8" t="n"/>
      <c r="C192" s="8" t="n"/>
      <c r="D192" s="8" t="n"/>
      <c r="E192" s="8" t="n"/>
      <c r="F192" s="8" t="n"/>
      <c r="G192" s="8" t="n"/>
      <c r="H192" s="13" t="n"/>
    </row>
    <row r="193">
      <c r="A193" s="13" t="n"/>
      <c r="B193" s="8" t="n"/>
      <c r="C193" s="8" t="n"/>
      <c r="D193" s="8" t="n"/>
      <c r="E193" s="8" t="n"/>
      <c r="F193" s="8" t="n"/>
      <c r="G193" s="8" t="n"/>
      <c r="H193" s="13" t="n"/>
    </row>
    <row r="194">
      <c r="A194" s="13" t="n"/>
      <c r="B194" s="8" t="n"/>
      <c r="C194" s="8" t="n"/>
      <c r="D194" s="8" t="n"/>
      <c r="E194" s="8" t="n"/>
      <c r="F194" s="8" t="n"/>
      <c r="G194" s="8" t="n"/>
      <c r="H194" s="13" t="n"/>
    </row>
    <row r="195">
      <c r="A195" s="13" t="n"/>
      <c r="B195" s="8" t="n"/>
      <c r="C195" s="8" t="n"/>
      <c r="D195" s="8" t="n"/>
      <c r="E195" s="8" t="n"/>
      <c r="F195" s="8" t="n"/>
      <c r="G195" s="8" t="n"/>
      <c r="H195" s="13" t="n"/>
    </row>
    <row r="196">
      <c r="A196" s="13" t="n"/>
      <c r="B196" s="8" t="n"/>
      <c r="C196" s="8" t="n"/>
      <c r="D196" s="8" t="n"/>
      <c r="E196" s="8" t="n"/>
      <c r="F196" s="8" t="n"/>
      <c r="G196" s="8" t="n"/>
      <c r="H196" s="13" t="n"/>
    </row>
    <row r="197">
      <c r="A197" s="13" t="n"/>
      <c r="B197" s="8" t="n"/>
      <c r="C197" s="8" t="n"/>
      <c r="D197" s="8" t="n"/>
      <c r="E197" s="8" t="n"/>
      <c r="F197" s="8" t="n"/>
      <c r="G197" s="8" t="n"/>
      <c r="H197" s="13" t="n"/>
    </row>
    <row r="198">
      <c r="A198" s="13" t="n"/>
      <c r="B198" s="8" t="n"/>
      <c r="C198" s="8" t="n"/>
      <c r="D198" s="8" t="n"/>
      <c r="E198" s="8" t="n"/>
      <c r="F198" s="8" t="n"/>
      <c r="G198" s="8" t="n"/>
      <c r="H198" s="13" t="n"/>
    </row>
    <row r="199">
      <c r="A199" s="13" t="n"/>
      <c r="B199" s="8" t="n"/>
      <c r="C199" s="8" t="n"/>
      <c r="D199" s="8" t="n"/>
      <c r="E199" s="8" t="n"/>
      <c r="F199" s="8" t="n"/>
      <c r="G199" s="8" t="n"/>
      <c r="H199" s="13" t="n"/>
    </row>
    <row r="200">
      <c r="A200" s="13" t="n"/>
      <c r="B200" s="8" t="n"/>
      <c r="C200" s="8" t="n"/>
      <c r="D200" s="8" t="n"/>
      <c r="E200" s="8" t="n"/>
      <c r="F200" s="8" t="n"/>
      <c r="G200" s="8" t="n"/>
      <c r="H200" s="13" t="n"/>
    </row>
    <row r="201">
      <c r="A201" s="13" t="n"/>
      <c r="B201" s="8" t="n"/>
      <c r="C201" s="8" t="n"/>
      <c r="D201" s="8" t="n"/>
      <c r="E201" s="8" t="n"/>
      <c r="F201" s="8" t="n"/>
      <c r="G201" s="8" t="n"/>
      <c r="H201" s="13" t="n"/>
    </row>
  </sheetData>
  <dataValidations count="3">
    <dataValidation sqref="E2:E201" showDropDown="0" showInputMessage="0" showErrorMessage="0" allowBlank="1" type="list">
      <formula1>"Low,Medium,High,Critical"</formula1>
    </dataValidation>
    <dataValidation sqref="G2:G201" showDropDown="0" showInputMessage="0" showErrorMessage="0" allowBlank="1" type="list">
      <formula1>"Open,In progress,Fixed,Closed"</formula1>
    </dataValidation>
    <dataValidation sqref="B2:B201" showDropDown="0" showInputMessage="0" showErrorMessage="0" allowBlank="1" type="list">
      <formula1>"Reception and cash desk,Nursing,Medical (doctors),Laboratory,Pharmacy and stock,Production,Toxicology,Spiritual care,Management and admin"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3" customWidth="1" min="3" max="3"/>
    <col width="1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4" customWidth="1" min="12" max="12"/>
    <col width="34" customWidth="1" min="13" max="13"/>
    <col width="50" customWidth="1" min="15" max="15"/>
  </cols>
  <sheetData>
    <row r="1" ht="45" customHeight="1">
      <c r="A1" s="5" t="inlineStr">
        <is>
          <t>Name</t>
        </is>
      </c>
      <c r="B1" s="5" t="inlineStr">
        <is>
          <t>Role</t>
        </is>
      </c>
      <c r="C1" s="5" t="inlineStr">
        <is>
          <t>Session date</t>
        </is>
      </c>
      <c r="D1" s="5" t="inlineStr">
        <is>
          <t>Trained by</t>
        </is>
      </c>
      <c r="E1" s="5" t="inlineStr">
        <is>
          <t>Skill 1</t>
        </is>
      </c>
      <c r="F1" s="5" t="inlineStr">
        <is>
          <t>Skill 2</t>
        </is>
      </c>
      <c r="G1" s="5" t="inlineStr">
        <is>
          <t>Skill 3</t>
        </is>
      </c>
      <c r="H1" s="5" t="inlineStr">
        <is>
          <t>Skill 4</t>
        </is>
      </c>
      <c r="I1" s="5" t="inlineStr">
        <is>
          <t>Skill 5</t>
        </is>
      </c>
      <c r="J1" s="5" t="inlineStr">
        <is>
          <t>Skill 6</t>
        </is>
      </c>
      <c r="K1" s="5" t="inlineStr">
        <is>
          <t>Skill 7</t>
        </is>
      </c>
      <c r="L1" s="5" t="inlineStr">
        <is>
          <t>Skills shown (count)</t>
        </is>
      </c>
      <c r="M1" s="5" t="inlineStr">
        <is>
          <t>Comment</t>
        </is>
      </c>
      <c r="O1" s="2" t="inlineStr">
        <is>
          <t>Skill numbers follow the checklist of the role (section 4 of the plan). Put X when the person showed the skill. Leave the unused skill columns empty.</t>
        </is>
      </c>
    </row>
    <row r="2">
      <c r="A2" s="14" t="n"/>
      <c r="B2" s="14" t="n"/>
      <c r="C2" s="4" t="n"/>
      <c r="D2" s="14" t="n"/>
      <c r="E2" s="15" t="n"/>
      <c r="F2" s="15" t="n"/>
      <c r="G2" s="15" t="n"/>
      <c r="H2" s="15" t="n"/>
      <c r="I2" s="15" t="n"/>
      <c r="J2" s="15" t="n"/>
      <c r="K2" s="15" t="n"/>
      <c r="L2" s="16">
        <f>IF(COUNTIF(E2:K2,"X")=0,"",COUNTIF(E2:K2,"X"))</f>
        <v/>
      </c>
      <c r="M2" s="14" t="n"/>
    </row>
    <row r="3">
      <c r="A3" s="14" t="n"/>
      <c r="B3" s="14" t="n"/>
      <c r="C3" s="4" t="n"/>
      <c r="D3" s="14" t="n"/>
      <c r="E3" s="15" t="n"/>
      <c r="F3" s="15" t="n"/>
      <c r="G3" s="15" t="n"/>
      <c r="H3" s="15" t="n"/>
      <c r="I3" s="15" t="n"/>
      <c r="J3" s="15" t="n"/>
      <c r="K3" s="15" t="n"/>
      <c r="L3" s="16">
        <f>IF(COUNTIF(E3:K3,"X")=0,"",COUNTIF(E3:K3,"X"))</f>
        <v/>
      </c>
      <c r="M3" s="14" t="n"/>
    </row>
    <row r="4">
      <c r="A4" s="14" t="n"/>
      <c r="B4" s="14" t="n"/>
      <c r="C4" s="4" t="n"/>
      <c r="D4" s="14" t="n"/>
      <c r="E4" s="15" t="n"/>
      <c r="F4" s="15" t="n"/>
      <c r="G4" s="15" t="n"/>
      <c r="H4" s="15" t="n"/>
      <c r="I4" s="15" t="n"/>
      <c r="J4" s="15" t="n"/>
      <c r="K4" s="15" t="n"/>
      <c r="L4" s="16">
        <f>IF(COUNTIF(E4:K4,"X")=0,"",COUNTIF(E4:K4,"X"))</f>
        <v/>
      </c>
      <c r="M4" s="14" t="n"/>
    </row>
    <row r="5">
      <c r="A5" s="14" t="n"/>
      <c r="B5" s="14" t="n"/>
      <c r="C5" s="4" t="n"/>
      <c r="D5" s="14" t="n"/>
      <c r="E5" s="15" t="n"/>
      <c r="F5" s="15" t="n"/>
      <c r="G5" s="15" t="n"/>
      <c r="H5" s="15" t="n"/>
      <c r="I5" s="15" t="n"/>
      <c r="J5" s="15" t="n"/>
      <c r="K5" s="15" t="n"/>
      <c r="L5" s="16">
        <f>IF(COUNTIF(E5:K5,"X")=0,"",COUNTIF(E5:K5,"X"))</f>
        <v/>
      </c>
      <c r="M5" s="14" t="n"/>
    </row>
    <row r="6">
      <c r="A6" s="14" t="n"/>
      <c r="B6" s="14" t="n"/>
      <c r="C6" s="4" t="n"/>
      <c r="D6" s="14" t="n"/>
      <c r="E6" s="15" t="n"/>
      <c r="F6" s="15" t="n"/>
      <c r="G6" s="15" t="n"/>
      <c r="H6" s="15" t="n"/>
      <c r="I6" s="15" t="n"/>
      <c r="J6" s="15" t="n"/>
      <c r="K6" s="15" t="n"/>
      <c r="L6" s="16">
        <f>IF(COUNTIF(E6:K6,"X")=0,"",COUNTIF(E6:K6,"X"))</f>
        <v/>
      </c>
      <c r="M6" s="14" t="n"/>
    </row>
    <row r="7">
      <c r="A7" s="14" t="n"/>
      <c r="B7" s="14" t="n"/>
      <c r="C7" s="4" t="n"/>
      <c r="D7" s="14" t="n"/>
      <c r="E7" s="15" t="n"/>
      <c r="F7" s="15" t="n"/>
      <c r="G7" s="15" t="n"/>
      <c r="H7" s="15" t="n"/>
      <c r="I7" s="15" t="n"/>
      <c r="J7" s="15" t="n"/>
      <c r="K7" s="15" t="n"/>
      <c r="L7" s="16">
        <f>IF(COUNTIF(E7:K7,"X")=0,"",COUNTIF(E7:K7,"X"))</f>
        <v/>
      </c>
      <c r="M7" s="14" t="n"/>
    </row>
    <row r="8">
      <c r="A8" s="14" t="n"/>
      <c r="B8" s="14" t="n"/>
      <c r="C8" s="4" t="n"/>
      <c r="D8" s="14" t="n"/>
      <c r="E8" s="15" t="n"/>
      <c r="F8" s="15" t="n"/>
      <c r="G8" s="15" t="n"/>
      <c r="H8" s="15" t="n"/>
      <c r="I8" s="15" t="n"/>
      <c r="J8" s="15" t="n"/>
      <c r="K8" s="15" t="n"/>
      <c r="L8" s="16">
        <f>IF(COUNTIF(E8:K8,"X")=0,"",COUNTIF(E8:K8,"X"))</f>
        <v/>
      </c>
      <c r="M8" s="14" t="n"/>
    </row>
    <row r="9">
      <c r="A9" s="14" t="n"/>
      <c r="B9" s="14" t="n"/>
      <c r="C9" s="4" t="n"/>
      <c r="D9" s="14" t="n"/>
      <c r="E9" s="15" t="n"/>
      <c r="F9" s="15" t="n"/>
      <c r="G9" s="15" t="n"/>
      <c r="H9" s="15" t="n"/>
      <c r="I9" s="15" t="n"/>
      <c r="J9" s="15" t="n"/>
      <c r="K9" s="15" t="n"/>
      <c r="L9" s="16">
        <f>IF(COUNTIF(E9:K9,"X")=0,"",COUNTIF(E9:K9,"X"))</f>
        <v/>
      </c>
      <c r="M9" s="14" t="n"/>
    </row>
    <row r="10">
      <c r="A10" s="14" t="n"/>
      <c r="B10" s="14" t="n"/>
      <c r="C10" s="4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6">
        <f>IF(COUNTIF(E10:K10,"X")=0,"",COUNTIF(E10:K10,"X"))</f>
        <v/>
      </c>
      <c r="M10" s="14" t="n"/>
    </row>
    <row r="11">
      <c r="A11" s="14" t="n"/>
      <c r="B11" s="14" t="n"/>
      <c r="C11" s="4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6">
        <f>IF(COUNTIF(E11:K11,"X")=0,"",COUNTIF(E11:K11,"X"))</f>
        <v/>
      </c>
      <c r="M11" s="14" t="n"/>
    </row>
    <row r="12">
      <c r="A12" s="14" t="n"/>
      <c r="B12" s="14" t="n"/>
      <c r="C12" s="4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6">
        <f>IF(COUNTIF(E12:K12,"X")=0,"",COUNTIF(E12:K12,"X"))</f>
        <v/>
      </c>
      <c r="M12" s="14" t="n"/>
    </row>
    <row r="13">
      <c r="A13" s="14" t="n"/>
      <c r="B13" s="14" t="n"/>
      <c r="C13" s="4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6">
        <f>IF(COUNTIF(E13:K13,"X")=0,"",COUNTIF(E13:K13,"X"))</f>
        <v/>
      </c>
      <c r="M13" s="14" t="n"/>
    </row>
    <row r="14">
      <c r="A14" s="14" t="n"/>
      <c r="B14" s="14" t="n"/>
      <c r="C14" s="4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6">
        <f>IF(COUNTIF(E14:K14,"X")=0,"",COUNTIF(E14:K14,"X"))</f>
        <v/>
      </c>
      <c r="M14" s="14" t="n"/>
    </row>
    <row r="15">
      <c r="A15" s="14" t="n"/>
      <c r="B15" s="14" t="n"/>
      <c r="C15" s="4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6">
        <f>IF(COUNTIF(E15:K15,"X")=0,"",COUNTIF(E15:K15,"X"))</f>
        <v/>
      </c>
      <c r="M15" s="14" t="n"/>
    </row>
    <row r="16">
      <c r="A16" s="14" t="n"/>
      <c r="B16" s="14" t="n"/>
      <c r="C16" s="4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6">
        <f>IF(COUNTIF(E16:K16,"X")=0,"",COUNTIF(E16:K16,"X"))</f>
        <v/>
      </c>
      <c r="M16" s="14" t="n"/>
    </row>
    <row r="17">
      <c r="A17" s="14" t="n"/>
      <c r="B17" s="14" t="n"/>
      <c r="C17" s="4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6">
        <f>IF(COUNTIF(E17:K17,"X")=0,"",COUNTIF(E17:K17,"X"))</f>
        <v/>
      </c>
      <c r="M17" s="14" t="n"/>
    </row>
    <row r="18">
      <c r="A18" s="14" t="n"/>
      <c r="B18" s="14" t="n"/>
      <c r="C18" s="4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6">
        <f>IF(COUNTIF(E18:K18,"X")=0,"",COUNTIF(E18:K18,"X"))</f>
        <v/>
      </c>
      <c r="M18" s="14" t="n"/>
    </row>
    <row r="19">
      <c r="A19" s="14" t="n"/>
      <c r="B19" s="14" t="n"/>
      <c r="C19" s="4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6">
        <f>IF(COUNTIF(E19:K19,"X")=0,"",COUNTIF(E19:K19,"X"))</f>
        <v/>
      </c>
      <c r="M19" s="14" t="n"/>
    </row>
    <row r="20">
      <c r="A20" s="14" t="n"/>
      <c r="B20" s="14" t="n"/>
      <c r="C20" s="4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6">
        <f>IF(COUNTIF(E20:K20,"X")=0,"",COUNTIF(E20:K20,"X"))</f>
        <v/>
      </c>
      <c r="M20" s="14" t="n"/>
    </row>
    <row r="21">
      <c r="A21" s="14" t="n"/>
      <c r="B21" s="14" t="n"/>
      <c r="C21" s="4" t="n"/>
      <c r="D21" s="14" t="n"/>
      <c r="E21" s="15" t="n"/>
      <c r="F21" s="15" t="n"/>
      <c r="G21" s="15" t="n"/>
      <c r="H21" s="15" t="n"/>
      <c r="I21" s="15" t="n"/>
      <c r="J21" s="15" t="n"/>
      <c r="K21" s="15" t="n"/>
      <c r="L21" s="16">
        <f>IF(COUNTIF(E21:K21,"X")=0,"",COUNTIF(E21:K21,"X"))</f>
        <v/>
      </c>
      <c r="M21" s="14" t="n"/>
    </row>
    <row r="22">
      <c r="A22" s="14" t="n"/>
      <c r="B22" s="14" t="n"/>
      <c r="C22" s="4" t="n"/>
      <c r="D22" s="14" t="n"/>
      <c r="E22" s="15" t="n"/>
      <c r="F22" s="15" t="n"/>
      <c r="G22" s="15" t="n"/>
      <c r="H22" s="15" t="n"/>
      <c r="I22" s="15" t="n"/>
      <c r="J22" s="15" t="n"/>
      <c r="K22" s="15" t="n"/>
      <c r="L22" s="16">
        <f>IF(COUNTIF(E22:K22,"X")=0,"",COUNTIF(E22:K22,"X"))</f>
        <v/>
      </c>
      <c r="M22" s="14" t="n"/>
    </row>
    <row r="23">
      <c r="A23" s="14" t="n"/>
      <c r="B23" s="14" t="n"/>
      <c r="C23" s="4" t="n"/>
      <c r="D23" s="14" t="n"/>
      <c r="E23" s="15" t="n"/>
      <c r="F23" s="15" t="n"/>
      <c r="G23" s="15" t="n"/>
      <c r="H23" s="15" t="n"/>
      <c r="I23" s="15" t="n"/>
      <c r="J23" s="15" t="n"/>
      <c r="K23" s="15" t="n"/>
      <c r="L23" s="16">
        <f>IF(COUNTIF(E23:K23,"X")=0,"",COUNTIF(E23:K23,"X"))</f>
        <v/>
      </c>
      <c r="M23" s="14" t="n"/>
    </row>
    <row r="24">
      <c r="A24" s="14" t="n"/>
      <c r="B24" s="14" t="n"/>
      <c r="C24" s="4" t="n"/>
      <c r="D24" s="14" t="n"/>
      <c r="E24" s="15" t="n"/>
      <c r="F24" s="15" t="n"/>
      <c r="G24" s="15" t="n"/>
      <c r="H24" s="15" t="n"/>
      <c r="I24" s="15" t="n"/>
      <c r="J24" s="15" t="n"/>
      <c r="K24" s="15" t="n"/>
      <c r="L24" s="16">
        <f>IF(COUNTIF(E24:K24,"X")=0,"",COUNTIF(E24:K24,"X"))</f>
        <v/>
      </c>
      <c r="M24" s="14" t="n"/>
    </row>
    <row r="25">
      <c r="A25" s="14" t="n"/>
      <c r="B25" s="14" t="n"/>
      <c r="C25" s="4" t="n"/>
      <c r="D25" s="14" t="n"/>
      <c r="E25" s="15" t="n"/>
      <c r="F25" s="15" t="n"/>
      <c r="G25" s="15" t="n"/>
      <c r="H25" s="15" t="n"/>
      <c r="I25" s="15" t="n"/>
      <c r="J25" s="15" t="n"/>
      <c r="K25" s="15" t="n"/>
      <c r="L25" s="16">
        <f>IF(COUNTIF(E25:K25,"X")=0,"",COUNTIF(E25:K25,"X"))</f>
        <v/>
      </c>
      <c r="M25" s="14" t="n"/>
    </row>
    <row r="26">
      <c r="A26" s="14" t="n"/>
      <c r="B26" s="14" t="n"/>
      <c r="C26" s="4" t="n"/>
      <c r="D26" s="14" t="n"/>
      <c r="E26" s="15" t="n"/>
      <c r="F26" s="15" t="n"/>
      <c r="G26" s="15" t="n"/>
      <c r="H26" s="15" t="n"/>
      <c r="I26" s="15" t="n"/>
      <c r="J26" s="15" t="n"/>
      <c r="K26" s="15" t="n"/>
      <c r="L26" s="16">
        <f>IF(COUNTIF(E26:K26,"X")=0,"",COUNTIF(E26:K26,"X"))</f>
        <v/>
      </c>
      <c r="M26" s="14" t="n"/>
    </row>
    <row r="27">
      <c r="A27" s="14" t="n"/>
      <c r="B27" s="14" t="n"/>
      <c r="C27" s="4" t="n"/>
      <c r="D27" s="14" t="n"/>
      <c r="E27" s="15" t="n"/>
      <c r="F27" s="15" t="n"/>
      <c r="G27" s="15" t="n"/>
      <c r="H27" s="15" t="n"/>
      <c r="I27" s="15" t="n"/>
      <c r="J27" s="15" t="n"/>
      <c r="K27" s="15" t="n"/>
      <c r="L27" s="16">
        <f>IF(COUNTIF(E27:K27,"X")=0,"",COUNTIF(E27:K27,"X"))</f>
        <v/>
      </c>
      <c r="M27" s="14" t="n"/>
    </row>
    <row r="28">
      <c r="A28" s="14" t="n"/>
      <c r="B28" s="14" t="n"/>
      <c r="C28" s="4" t="n"/>
      <c r="D28" s="14" t="n"/>
      <c r="E28" s="15" t="n"/>
      <c r="F28" s="15" t="n"/>
      <c r="G28" s="15" t="n"/>
      <c r="H28" s="15" t="n"/>
      <c r="I28" s="15" t="n"/>
      <c r="J28" s="15" t="n"/>
      <c r="K28" s="15" t="n"/>
      <c r="L28" s="16">
        <f>IF(COUNTIF(E28:K28,"X")=0,"",COUNTIF(E28:K28,"X"))</f>
        <v/>
      </c>
      <c r="M28" s="14" t="n"/>
    </row>
    <row r="29">
      <c r="A29" s="14" t="n"/>
      <c r="B29" s="14" t="n"/>
      <c r="C29" s="4" t="n"/>
      <c r="D29" s="14" t="n"/>
      <c r="E29" s="15" t="n"/>
      <c r="F29" s="15" t="n"/>
      <c r="G29" s="15" t="n"/>
      <c r="H29" s="15" t="n"/>
      <c r="I29" s="15" t="n"/>
      <c r="J29" s="15" t="n"/>
      <c r="K29" s="15" t="n"/>
      <c r="L29" s="16">
        <f>IF(COUNTIF(E29:K29,"X")=0,"",COUNTIF(E29:K29,"X"))</f>
        <v/>
      </c>
      <c r="M29" s="14" t="n"/>
    </row>
    <row r="30">
      <c r="A30" s="14" t="n"/>
      <c r="B30" s="14" t="n"/>
      <c r="C30" s="4" t="n"/>
      <c r="D30" s="14" t="n"/>
      <c r="E30" s="15" t="n"/>
      <c r="F30" s="15" t="n"/>
      <c r="G30" s="15" t="n"/>
      <c r="H30" s="15" t="n"/>
      <c r="I30" s="15" t="n"/>
      <c r="J30" s="15" t="n"/>
      <c r="K30" s="15" t="n"/>
      <c r="L30" s="16">
        <f>IF(COUNTIF(E30:K30,"X")=0,"",COUNTIF(E30:K30,"X"))</f>
        <v/>
      </c>
      <c r="M30" s="14" t="n"/>
    </row>
    <row r="31">
      <c r="A31" s="14" t="n"/>
      <c r="B31" s="14" t="n"/>
      <c r="C31" s="4" t="n"/>
      <c r="D31" s="14" t="n"/>
      <c r="E31" s="15" t="n"/>
      <c r="F31" s="15" t="n"/>
      <c r="G31" s="15" t="n"/>
      <c r="H31" s="15" t="n"/>
      <c r="I31" s="15" t="n"/>
      <c r="J31" s="15" t="n"/>
      <c r="K31" s="15" t="n"/>
      <c r="L31" s="16">
        <f>IF(COUNTIF(E31:K31,"X")=0,"",COUNTIF(E31:K31,"X"))</f>
        <v/>
      </c>
      <c r="M31" s="14" t="n"/>
    </row>
    <row r="32">
      <c r="A32" s="14" t="n"/>
      <c r="B32" s="14" t="n"/>
      <c r="C32" s="4" t="n"/>
      <c r="D32" s="14" t="n"/>
      <c r="E32" s="15" t="n"/>
      <c r="F32" s="15" t="n"/>
      <c r="G32" s="15" t="n"/>
      <c r="H32" s="15" t="n"/>
      <c r="I32" s="15" t="n"/>
      <c r="J32" s="15" t="n"/>
      <c r="K32" s="15" t="n"/>
      <c r="L32" s="16">
        <f>IF(COUNTIF(E32:K32,"X")=0,"",COUNTIF(E32:K32,"X"))</f>
        <v/>
      </c>
      <c r="M32" s="14" t="n"/>
    </row>
    <row r="33">
      <c r="A33" s="14" t="n"/>
      <c r="B33" s="14" t="n"/>
      <c r="C33" s="4" t="n"/>
      <c r="D33" s="14" t="n"/>
      <c r="E33" s="15" t="n"/>
      <c r="F33" s="15" t="n"/>
      <c r="G33" s="15" t="n"/>
      <c r="H33" s="15" t="n"/>
      <c r="I33" s="15" t="n"/>
      <c r="J33" s="15" t="n"/>
      <c r="K33" s="15" t="n"/>
      <c r="L33" s="16">
        <f>IF(COUNTIF(E33:K33,"X")=0,"",COUNTIF(E33:K33,"X"))</f>
        <v/>
      </c>
      <c r="M33" s="14" t="n"/>
    </row>
    <row r="34">
      <c r="A34" s="14" t="n"/>
      <c r="B34" s="14" t="n"/>
      <c r="C34" s="4" t="n"/>
      <c r="D34" s="14" t="n"/>
      <c r="E34" s="15" t="n"/>
      <c r="F34" s="15" t="n"/>
      <c r="G34" s="15" t="n"/>
      <c r="H34" s="15" t="n"/>
      <c r="I34" s="15" t="n"/>
      <c r="J34" s="15" t="n"/>
      <c r="K34" s="15" t="n"/>
      <c r="L34" s="16">
        <f>IF(COUNTIF(E34:K34,"X")=0,"",COUNTIF(E34:K34,"X"))</f>
        <v/>
      </c>
      <c r="M34" s="14" t="n"/>
    </row>
    <row r="35">
      <c r="A35" s="14" t="n"/>
      <c r="B35" s="14" t="n"/>
      <c r="C35" s="4" t="n"/>
      <c r="D35" s="14" t="n"/>
      <c r="E35" s="15" t="n"/>
      <c r="F35" s="15" t="n"/>
      <c r="G35" s="15" t="n"/>
      <c r="H35" s="15" t="n"/>
      <c r="I35" s="15" t="n"/>
      <c r="J35" s="15" t="n"/>
      <c r="K35" s="15" t="n"/>
      <c r="L35" s="16">
        <f>IF(COUNTIF(E35:K35,"X")=0,"",COUNTIF(E35:K35,"X"))</f>
        <v/>
      </c>
      <c r="M35" s="14" t="n"/>
    </row>
    <row r="36">
      <c r="A36" s="14" t="n"/>
      <c r="B36" s="14" t="n"/>
      <c r="C36" s="4" t="n"/>
      <c r="D36" s="14" t="n"/>
      <c r="E36" s="15" t="n"/>
      <c r="F36" s="15" t="n"/>
      <c r="G36" s="15" t="n"/>
      <c r="H36" s="15" t="n"/>
      <c r="I36" s="15" t="n"/>
      <c r="J36" s="15" t="n"/>
      <c r="K36" s="15" t="n"/>
      <c r="L36" s="16">
        <f>IF(COUNTIF(E36:K36,"X")=0,"",COUNTIF(E36:K36,"X"))</f>
        <v/>
      </c>
      <c r="M36" s="14" t="n"/>
    </row>
    <row r="37">
      <c r="A37" s="14" t="n"/>
      <c r="B37" s="14" t="n"/>
      <c r="C37" s="4" t="n"/>
      <c r="D37" s="14" t="n"/>
      <c r="E37" s="15" t="n"/>
      <c r="F37" s="15" t="n"/>
      <c r="G37" s="15" t="n"/>
      <c r="H37" s="15" t="n"/>
      <c r="I37" s="15" t="n"/>
      <c r="J37" s="15" t="n"/>
      <c r="K37" s="15" t="n"/>
      <c r="L37" s="16">
        <f>IF(COUNTIF(E37:K37,"X")=0,"",COUNTIF(E37:K37,"X"))</f>
        <v/>
      </c>
      <c r="M37" s="14" t="n"/>
    </row>
    <row r="38">
      <c r="A38" s="14" t="n"/>
      <c r="B38" s="14" t="n"/>
      <c r="C38" s="4" t="n"/>
      <c r="D38" s="14" t="n"/>
      <c r="E38" s="15" t="n"/>
      <c r="F38" s="15" t="n"/>
      <c r="G38" s="15" t="n"/>
      <c r="H38" s="15" t="n"/>
      <c r="I38" s="15" t="n"/>
      <c r="J38" s="15" t="n"/>
      <c r="K38" s="15" t="n"/>
      <c r="L38" s="16">
        <f>IF(COUNTIF(E38:K38,"X")=0,"",COUNTIF(E38:K38,"X"))</f>
        <v/>
      </c>
      <c r="M38" s="14" t="n"/>
    </row>
    <row r="39">
      <c r="A39" s="14" t="n"/>
      <c r="B39" s="14" t="n"/>
      <c r="C39" s="4" t="n"/>
      <c r="D39" s="14" t="n"/>
      <c r="E39" s="15" t="n"/>
      <c r="F39" s="15" t="n"/>
      <c r="G39" s="15" t="n"/>
      <c r="H39" s="15" t="n"/>
      <c r="I39" s="15" t="n"/>
      <c r="J39" s="15" t="n"/>
      <c r="K39" s="15" t="n"/>
      <c r="L39" s="16">
        <f>IF(COUNTIF(E39:K39,"X")=0,"",COUNTIF(E39:K39,"X"))</f>
        <v/>
      </c>
      <c r="M39" s="14" t="n"/>
    </row>
    <row r="40">
      <c r="A40" s="14" t="n"/>
      <c r="B40" s="14" t="n"/>
      <c r="C40" s="4" t="n"/>
      <c r="D40" s="14" t="n"/>
      <c r="E40" s="15" t="n"/>
      <c r="F40" s="15" t="n"/>
      <c r="G40" s="15" t="n"/>
      <c r="H40" s="15" t="n"/>
      <c r="I40" s="15" t="n"/>
      <c r="J40" s="15" t="n"/>
      <c r="K40" s="15" t="n"/>
      <c r="L40" s="16">
        <f>IF(COUNTIF(E40:K40,"X")=0,"",COUNTIF(E40:K40,"X"))</f>
        <v/>
      </c>
      <c r="M40" s="14" t="n"/>
    </row>
    <row r="41">
      <c r="A41" s="14" t="n"/>
      <c r="B41" s="14" t="n"/>
      <c r="C41" s="4" t="n"/>
      <c r="D41" s="14" t="n"/>
      <c r="E41" s="15" t="n"/>
      <c r="F41" s="15" t="n"/>
      <c r="G41" s="15" t="n"/>
      <c r="H41" s="15" t="n"/>
      <c r="I41" s="15" t="n"/>
      <c r="J41" s="15" t="n"/>
      <c r="K41" s="15" t="n"/>
      <c r="L41" s="16">
        <f>IF(COUNTIF(E41:K41,"X")=0,"",COUNTIF(E41:K41,"X"))</f>
        <v/>
      </c>
      <c r="M41" s="14" t="n"/>
    </row>
    <row r="42">
      <c r="A42" s="14" t="n"/>
      <c r="B42" s="14" t="n"/>
      <c r="C42" s="4" t="n"/>
      <c r="D42" s="14" t="n"/>
      <c r="E42" s="15" t="n"/>
      <c r="F42" s="15" t="n"/>
      <c r="G42" s="15" t="n"/>
      <c r="H42" s="15" t="n"/>
      <c r="I42" s="15" t="n"/>
      <c r="J42" s="15" t="n"/>
      <c r="K42" s="15" t="n"/>
      <c r="L42" s="16">
        <f>IF(COUNTIF(E42:K42,"X")=0,"",COUNTIF(E42:K42,"X"))</f>
        <v/>
      </c>
      <c r="M42" s="14" t="n"/>
    </row>
    <row r="43">
      <c r="A43" s="14" t="n"/>
      <c r="B43" s="14" t="n"/>
      <c r="C43" s="4" t="n"/>
      <c r="D43" s="14" t="n"/>
      <c r="E43" s="15" t="n"/>
      <c r="F43" s="15" t="n"/>
      <c r="G43" s="15" t="n"/>
      <c r="H43" s="15" t="n"/>
      <c r="I43" s="15" t="n"/>
      <c r="J43" s="15" t="n"/>
      <c r="K43" s="15" t="n"/>
      <c r="L43" s="16">
        <f>IF(COUNTIF(E43:K43,"X")=0,"",COUNTIF(E43:K43,"X"))</f>
        <v/>
      </c>
      <c r="M43" s="14" t="n"/>
    </row>
    <row r="44">
      <c r="A44" s="14" t="n"/>
      <c r="B44" s="14" t="n"/>
      <c r="C44" s="4" t="n"/>
      <c r="D44" s="14" t="n"/>
      <c r="E44" s="15" t="n"/>
      <c r="F44" s="15" t="n"/>
      <c r="G44" s="15" t="n"/>
      <c r="H44" s="15" t="n"/>
      <c r="I44" s="15" t="n"/>
      <c r="J44" s="15" t="n"/>
      <c r="K44" s="15" t="n"/>
      <c r="L44" s="16">
        <f>IF(COUNTIF(E44:K44,"X")=0,"",COUNTIF(E44:K44,"X"))</f>
        <v/>
      </c>
      <c r="M44" s="14" t="n"/>
    </row>
    <row r="45">
      <c r="A45" s="14" t="n"/>
      <c r="B45" s="14" t="n"/>
      <c r="C45" s="4" t="n"/>
      <c r="D45" s="14" t="n"/>
      <c r="E45" s="15" t="n"/>
      <c r="F45" s="15" t="n"/>
      <c r="G45" s="15" t="n"/>
      <c r="H45" s="15" t="n"/>
      <c r="I45" s="15" t="n"/>
      <c r="J45" s="15" t="n"/>
      <c r="K45" s="15" t="n"/>
      <c r="L45" s="16">
        <f>IF(COUNTIF(E45:K45,"X")=0,"",COUNTIF(E45:K45,"X"))</f>
        <v/>
      </c>
      <c r="M45" s="14" t="n"/>
    </row>
    <row r="46">
      <c r="A46" s="14" t="n"/>
      <c r="B46" s="14" t="n"/>
      <c r="C46" s="4" t="n"/>
      <c r="D46" s="14" t="n"/>
      <c r="E46" s="15" t="n"/>
      <c r="F46" s="15" t="n"/>
      <c r="G46" s="15" t="n"/>
      <c r="H46" s="15" t="n"/>
      <c r="I46" s="15" t="n"/>
      <c r="J46" s="15" t="n"/>
      <c r="K46" s="15" t="n"/>
      <c r="L46" s="16">
        <f>IF(COUNTIF(E46:K46,"X")=0,"",COUNTIF(E46:K46,"X"))</f>
        <v/>
      </c>
      <c r="M46" s="14" t="n"/>
    </row>
    <row r="47">
      <c r="A47" s="14" t="n"/>
      <c r="B47" s="14" t="n"/>
      <c r="C47" s="4" t="n"/>
      <c r="D47" s="14" t="n"/>
      <c r="E47" s="15" t="n"/>
      <c r="F47" s="15" t="n"/>
      <c r="G47" s="15" t="n"/>
      <c r="H47" s="15" t="n"/>
      <c r="I47" s="15" t="n"/>
      <c r="J47" s="15" t="n"/>
      <c r="K47" s="15" t="n"/>
      <c r="L47" s="16">
        <f>IF(COUNTIF(E47:K47,"X")=0,"",COUNTIF(E47:K47,"X"))</f>
        <v/>
      </c>
      <c r="M47" s="14" t="n"/>
    </row>
    <row r="48">
      <c r="A48" s="14" t="n"/>
      <c r="B48" s="14" t="n"/>
      <c r="C48" s="4" t="n"/>
      <c r="D48" s="14" t="n"/>
      <c r="E48" s="15" t="n"/>
      <c r="F48" s="15" t="n"/>
      <c r="G48" s="15" t="n"/>
      <c r="H48" s="15" t="n"/>
      <c r="I48" s="15" t="n"/>
      <c r="J48" s="15" t="n"/>
      <c r="K48" s="15" t="n"/>
      <c r="L48" s="16">
        <f>IF(COUNTIF(E48:K48,"X")=0,"",COUNTIF(E48:K48,"X"))</f>
        <v/>
      </c>
      <c r="M48" s="14" t="n"/>
    </row>
    <row r="49">
      <c r="A49" s="14" t="n"/>
      <c r="B49" s="14" t="n"/>
      <c r="C49" s="4" t="n"/>
      <c r="D49" s="14" t="n"/>
      <c r="E49" s="15" t="n"/>
      <c r="F49" s="15" t="n"/>
      <c r="G49" s="15" t="n"/>
      <c r="H49" s="15" t="n"/>
      <c r="I49" s="15" t="n"/>
      <c r="J49" s="15" t="n"/>
      <c r="K49" s="15" t="n"/>
      <c r="L49" s="16">
        <f>IF(COUNTIF(E49:K49,"X")=0,"",COUNTIF(E49:K49,"X"))</f>
        <v/>
      </c>
      <c r="M49" s="14" t="n"/>
    </row>
    <row r="50">
      <c r="A50" s="14" t="n"/>
      <c r="B50" s="14" t="n"/>
      <c r="C50" s="4" t="n"/>
      <c r="D50" s="14" t="n"/>
      <c r="E50" s="15" t="n"/>
      <c r="F50" s="15" t="n"/>
      <c r="G50" s="15" t="n"/>
      <c r="H50" s="15" t="n"/>
      <c r="I50" s="15" t="n"/>
      <c r="J50" s="15" t="n"/>
      <c r="K50" s="15" t="n"/>
      <c r="L50" s="16">
        <f>IF(COUNTIF(E50:K50,"X")=0,"",COUNTIF(E50:K50,"X"))</f>
        <v/>
      </c>
      <c r="M50" s="14" t="n"/>
    </row>
    <row r="51">
      <c r="A51" s="14" t="n"/>
      <c r="B51" s="14" t="n"/>
      <c r="C51" s="4" t="n"/>
      <c r="D51" s="14" t="n"/>
      <c r="E51" s="15" t="n"/>
      <c r="F51" s="15" t="n"/>
      <c r="G51" s="15" t="n"/>
      <c r="H51" s="15" t="n"/>
      <c r="I51" s="15" t="n"/>
      <c r="J51" s="15" t="n"/>
      <c r="K51" s="15" t="n"/>
      <c r="L51" s="16">
        <f>IF(COUNTIF(E51:K51,"X")=0,"",COUNTIF(E51:K51,"X"))</f>
        <v/>
      </c>
      <c r="M51" s="14" t="n"/>
    </row>
    <row r="52">
      <c r="A52" s="14" t="n"/>
      <c r="B52" s="14" t="n"/>
      <c r="C52" s="4" t="n"/>
      <c r="D52" s="14" t="n"/>
      <c r="E52" s="15" t="n"/>
      <c r="F52" s="15" t="n"/>
      <c r="G52" s="15" t="n"/>
      <c r="H52" s="15" t="n"/>
      <c r="I52" s="15" t="n"/>
      <c r="J52" s="15" t="n"/>
      <c r="K52" s="15" t="n"/>
      <c r="L52" s="16">
        <f>IF(COUNTIF(E52:K52,"X")=0,"",COUNTIF(E52:K52,"X"))</f>
        <v/>
      </c>
      <c r="M52" s="14" t="n"/>
    </row>
    <row r="53">
      <c r="A53" s="14" t="n"/>
      <c r="B53" s="14" t="n"/>
      <c r="C53" s="4" t="n"/>
      <c r="D53" s="14" t="n"/>
      <c r="E53" s="15" t="n"/>
      <c r="F53" s="15" t="n"/>
      <c r="G53" s="15" t="n"/>
      <c r="H53" s="15" t="n"/>
      <c r="I53" s="15" t="n"/>
      <c r="J53" s="15" t="n"/>
      <c r="K53" s="15" t="n"/>
      <c r="L53" s="16">
        <f>IF(COUNTIF(E53:K53,"X")=0,"",COUNTIF(E53:K53,"X"))</f>
        <v/>
      </c>
      <c r="M53" s="14" t="n"/>
    </row>
    <row r="54">
      <c r="A54" s="14" t="n"/>
      <c r="B54" s="14" t="n"/>
      <c r="C54" s="4" t="n"/>
      <c r="D54" s="14" t="n"/>
      <c r="E54" s="15" t="n"/>
      <c r="F54" s="15" t="n"/>
      <c r="G54" s="15" t="n"/>
      <c r="H54" s="15" t="n"/>
      <c r="I54" s="15" t="n"/>
      <c r="J54" s="15" t="n"/>
      <c r="K54" s="15" t="n"/>
      <c r="L54" s="16">
        <f>IF(COUNTIF(E54:K54,"X")=0,"",COUNTIF(E54:K54,"X"))</f>
        <v/>
      </c>
      <c r="M54" s="14" t="n"/>
    </row>
    <row r="55">
      <c r="A55" s="14" t="n"/>
      <c r="B55" s="14" t="n"/>
      <c r="C55" s="4" t="n"/>
      <c r="D55" s="14" t="n"/>
      <c r="E55" s="15" t="n"/>
      <c r="F55" s="15" t="n"/>
      <c r="G55" s="15" t="n"/>
      <c r="H55" s="15" t="n"/>
      <c r="I55" s="15" t="n"/>
      <c r="J55" s="15" t="n"/>
      <c r="K55" s="15" t="n"/>
      <c r="L55" s="16">
        <f>IF(COUNTIF(E55:K55,"X")=0,"",COUNTIF(E55:K55,"X"))</f>
        <v/>
      </c>
      <c r="M55" s="14" t="n"/>
    </row>
    <row r="56">
      <c r="A56" s="14" t="n"/>
      <c r="B56" s="14" t="n"/>
      <c r="C56" s="4" t="n"/>
      <c r="D56" s="14" t="n"/>
      <c r="E56" s="15" t="n"/>
      <c r="F56" s="15" t="n"/>
      <c r="G56" s="15" t="n"/>
      <c r="H56" s="15" t="n"/>
      <c r="I56" s="15" t="n"/>
      <c r="J56" s="15" t="n"/>
      <c r="K56" s="15" t="n"/>
      <c r="L56" s="16">
        <f>IF(COUNTIF(E56:K56,"X")=0,"",COUNTIF(E56:K56,"X"))</f>
        <v/>
      </c>
      <c r="M56" s="14" t="n"/>
    </row>
    <row r="57">
      <c r="A57" s="14" t="n"/>
      <c r="B57" s="14" t="n"/>
      <c r="C57" s="4" t="n"/>
      <c r="D57" s="14" t="n"/>
      <c r="E57" s="15" t="n"/>
      <c r="F57" s="15" t="n"/>
      <c r="G57" s="15" t="n"/>
      <c r="H57" s="15" t="n"/>
      <c r="I57" s="15" t="n"/>
      <c r="J57" s="15" t="n"/>
      <c r="K57" s="15" t="n"/>
      <c r="L57" s="16">
        <f>IF(COUNTIF(E57:K57,"X")=0,"",COUNTIF(E57:K57,"X"))</f>
        <v/>
      </c>
      <c r="M57" s="14" t="n"/>
    </row>
    <row r="58">
      <c r="A58" s="14" t="n"/>
      <c r="B58" s="14" t="n"/>
      <c r="C58" s="4" t="n"/>
      <c r="D58" s="14" t="n"/>
      <c r="E58" s="15" t="n"/>
      <c r="F58" s="15" t="n"/>
      <c r="G58" s="15" t="n"/>
      <c r="H58" s="15" t="n"/>
      <c r="I58" s="15" t="n"/>
      <c r="J58" s="15" t="n"/>
      <c r="K58" s="15" t="n"/>
      <c r="L58" s="16">
        <f>IF(COUNTIF(E58:K58,"X")=0,"",COUNTIF(E58:K58,"X"))</f>
        <v/>
      </c>
      <c r="M58" s="14" t="n"/>
    </row>
    <row r="59">
      <c r="A59" s="14" t="n"/>
      <c r="B59" s="14" t="n"/>
      <c r="C59" s="4" t="n"/>
      <c r="D59" s="14" t="n"/>
      <c r="E59" s="15" t="n"/>
      <c r="F59" s="15" t="n"/>
      <c r="G59" s="15" t="n"/>
      <c r="H59" s="15" t="n"/>
      <c r="I59" s="15" t="n"/>
      <c r="J59" s="15" t="n"/>
      <c r="K59" s="15" t="n"/>
      <c r="L59" s="16">
        <f>IF(COUNTIF(E59:K59,"X")=0,"",COUNTIF(E59:K59,"X"))</f>
        <v/>
      </c>
      <c r="M59" s="14" t="n"/>
    </row>
    <row r="60">
      <c r="A60" s="14" t="n"/>
      <c r="B60" s="14" t="n"/>
      <c r="C60" s="4" t="n"/>
      <c r="D60" s="14" t="n"/>
      <c r="E60" s="15" t="n"/>
      <c r="F60" s="15" t="n"/>
      <c r="G60" s="15" t="n"/>
      <c r="H60" s="15" t="n"/>
      <c r="I60" s="15" t="n"/>
      <c r="J60" s="15" t="n"/>
      <c r="K60" s="15" t="n"/>
      <c r="L60" s="16">
        <f>IF(COUNTIF(E60:K60,"X")=0,"",COUNTIF(E60:K60,"X"))</f>
        <v/>
      </c>
      <c r="M60" s="14" t="n"/>
    </row>
    <row r="61">
      <c r="A61" s="14" t="n"/>
      <c r="B61" s="14" t="n"/>
      <c r="C61" s="4" t="n"/>
      <c r="D61" s="14" t="n"/>
      <c r="E61" s="15" t="n"/>
      <c r="F61" s="15" t="n"/>
      <c r="G61" s="15" t="n"/>
      <c r="H61" s="15" t="n"/>
      <c r="I61" s="15" t="n"/>
      <c r="J61" s="15" t="n"/>
      <c r="K61" s="15" t="n"/>
      <c r="L61" s="16">
        <f>IF(COUNTIF(E61:K61,"X")=0,"",COUNTIF(E61:K61,"X"))</f>
        <v/>
      </c>
      <c r="M61" s="14" t="n"/>
    </row>
    <row r="62">
      <c r="A62" s="14" t="n"/>
      <c r="B62" s="14" t="n"/>
      <c r="C62" s="4" t="n"/>
      <c r="D62" s="14" t="n"/>
      <c r="E62" s="15" t="n"/>
      <c r="F62" s="15" t="n"/>
      <c r="G62" s="15" t="n"/>
      <c r="H62" s="15" t="n"/>
      <c r="I62" s="15" t="n"/>
      <c r="J62" s="15" t="n"/>
      <c r="K62" s="15" t="n"/>
      <c r="L62" s="16">
        <f>IF(COUNTIF(E62:K62,"X")=0,"",COUNTIF(E62:K62,"X"))</f>
        <v/>
      </c>
      <c r="M62" s="14" t="n"/>
    </row>
    <row r="63">
      <c r="A63" s="14" t="n"/>
      <c r="B63" s="14" t="n"/>
      <c r="C63" s="4" t="n"/>
      <c r="D63" s="14" t="n"/>
      <c r="E63" s="15" t="n"/>
      <c r="F63" s="15" t="n"/>
      <c r="G63" s="15" t="n"/>
      <c r="H63" s="15" t="n"/>
      <c r="I63" s="15" t="n"/>
      <c r="J63" s="15" t="n"/>
      <c r="K63" s="15" t="n"/>
      <c r="L63" s="16">
        <f>IF(COUNTIF(E63:K63,"X")=0,"",COUNTIF(E63:K63,"X"))</f>
        <v/>
      </c>
      <c r="M63" s="14" t="n"/>
    </row>
    <row r="64">
      <c r="A64" s="14" t="n"/>
      <c r="B64" s="14" t="n"/>
      <c r="C64" s="4" t="n"/>
      <c r="D64" s="14" t="n"/>
      <c r="E64" s="15" t="n"/>
      <c r="F64" s="15" t="n"/>
      <c r="G64" s="15" t="n"/>
      <c r="H64" s="15" t="n"/>
      <c r="I64" s="15" t="n"/>
      <c r="J64" s="15" t="n"/>
      <c r="K64" s="15" t="n"/>
      <c r="L64" s="16">
        <f>IF(COUNTIF(E64:K64,"X")=0,"",COUNTIF(E64:K64,"X"))</f>
        <v/>
      </c>
      <c r="M64" s="14" t="n"/>
    </row>
    <row r="65">
      <c r="A65" s="14" t="n"/>
      <c r="B65" s="14" t="n"/>
      <c r="C65" s="4" t="n"/>
      <c r="D65" s="14" t="n"/>
      <c r="E65" s="15" t="n"/>
      <c r="F65" s="15" t="n"/>
      <c r="G65" s="15" t="n"/>
      <c r="H65" s="15" t="n"/>
      <c r="I65" s="15" t="n"/>
      <c r="J65" s="15" t="n"/>
      <c r="K65" s="15" t="n"/>
      <c r="L65" s="16">
        <f>IF(COUNTIF(E65:K65,"X")=0,"",COUNTIF(E65:K65,"X"))</f>
        <v/>
      </c>
      <c r="M65" s="14" t="n"/>
    </row>
    <row r="66">
      <c r="A66" s="14" t="n"/>
      <c r="B66" s="14" t="n"/>
      <c r="C66" s="4" t="n"/>
      <c r="D66" s="14" t="n"/>
      <c r="E66" s="15" t="n"/>
      <c r="F66" s="15" t="n"/>
      <c r="G66" s="15" t="n"/>
      <c r="H66" s="15" t="n"/>
      <c r="I66" s="15" t="n"/>
      <c r="J66" s="15" t="n"/>
      <c r="K66" s="15" t="n"/>
      <c r="L66" s="16">
        <f>IF(COUNTIF(E66:K66,"X")=0,"",COUNTIF(E66:K66,"X"))</f>
        <v/>
      </c>
      <c r="M66" s="14" t="n"/>
    </row>
    <row r="67">
      <c r="A67" s="14" t="n"/>
      <c r="B67" s="14" t="n"/>
      <c r="C67" s="4" t="n"/>
      <c r="D67" s="14" t="n"/>
      <c r="E67" s="15" t="n"/>
      <c r="F67" s="15" t="n"/>
      <c r="G67" s="15" t="n"/>
      <c r="H67" s="15" t="n"/>
      <c r="I67" s="15" t="n"/>
      <c r="J67" s="15" t="n"/>
      <c r="K67" s="15" t="n"/>
      <c r="L67" s="16">
        <f>IF(COUNTIF(E67:K67,"X")=0,"",COUNTIF(E67:K67,"X"))</f>
        <v/>
      </c>
      <c r="M67" s="14" t="n"/>
    </row>
    <row r="68">
      <c r="A68" s="14" t="n"/>
      <c r="B68" s="14" t="n"/>
      <c r="C68" s="4" t="n"/>
      <c r="D68" s="14" t="n"/>
      <c r="E68" s="15" t="n"/>
      <c r="F68" s="15" t="n"/>
      <c r="G68" s="15" t="n"/>
      <c r="H68" s="15" t="n"/>
      <c r="I68" s="15" t="n"/>
      <c r="J68" s="15" t="n"/>
      <c r="K68" s="15" t="n"/>
      <c r="L68" s="16">
        <f>IF(COUNTIF(E68:K68,"X")=0,"",COUNTIF(E68:K68,"X"))</f>
        <v/>
      </c>
      <c r="M68" s="14" t="n"/>
    </row>
    <row r="69">
      <c r="A69" s="14" t="n"/>
      <c r="B69" s="14" t="n"/>
      <c r="C69" s="4" t="n"/>
      <c r="D69" s="14" t="n"/>
      <c r="E69" s="15" t="n"/>
      <c r="F69" s="15" t="n"/>
      <c r="G69" s="15" t="n"/>
      <c r="H69" s="15" t="n"/>
      <c r="I69" s="15" t="n"/>
      <c r="J69" s="15" t="n"/>
      <c r="K69" s="15" t="n"/>
      <c r="L69" s="16">
        <f>IF(COUNTIF(E69:K69,"X")=0,"",COUNTIF(E69:K69,"X"))</f>
        <v/>
      </c>
      <c r="M69" s="14" t="n"/>
    </row>
    <row r="70">
      <c r="A70" s="14" t="n"/>
      <c r="B70" s="14" t="n"/>
      <c r="C70" s="4" t="n"/>
      <c r="D70" s="14" t="n"/>
      <c r="E70" s="15" t="n"/>
      <c r="F70" s="15" t="n"/>
      <c r="G70" s="15" t="n"/>
      <c r="H70" s="15" t="n"/>
      <c r="I70" s="15" t="n"/>
      <c r="J70" s="15" t="n"/>
      <c r="K70" s="15" t="n"/>
      <c r="L70" s="16">
        <f>IF(COUNTIF(E70:K70,"X")=0,"",COUNTIF(E70:K70,"X"))</f>
        <v/>
      </c>
      <c r="M70" s="14" t="n"/>
    </row>
    <row r="71">
      <c r="A71" s="14" t="n"/>
      <c r="B71" s="14" t="n"/>
      <c r="C71" s="4" t="n"/>
      <c r="D71" s="14" t="n"/>
      <c r="E71" s="15" t="n"/>
      <c r="F71" s="15" t="n"/>
      <c r="G71" s="15" t="n"/>
      <c r="H71" s="15" t="n"/>
      <c r="I71" s="15" t="n"/>
      <c r="J71" s="15" t="n"/>
      <c r="K71" s="15" t="n"/>
      <c r="L71" s="16">
        <f>IF(COUNTIF(E71:K71,"X")=0,"",COUNTIF(E71:K71,"X"))</f>
        <v/>
      </c>
      <c r="M71" s="14" t="n"/>
    </row>
    <row r="72">
      <c r="A72" s="14" t="n"/>
      <c r="B72" s="14" t="n"/>
      <c r="C72" s="4" t="n"/>
      <c r="D72" s="14" t="n"/>
      <c r="E72" s="15" t="n"/>
      <c r="F72" s="15" t="n"/>
      <c r="G72" s="15" t="n"/>
      <c r="H72" s="15" t="n"/>
      <c r="I72" s="15" t="n"/>
      <c r="J72" s="15" t="n"/>
      <c r="K72" s="15" t="n"/>
      <c r="L72" s="16">
        <f>IF(COUNTIF(E72:K72,"X")=0,"",COUNTIF(E72:K72,"X"))</f>
        <v/>
      </c>
      <c r="M72" s="14" t="n"/>
    </row>
    <row r="73">
      <c r="A73" s="14" t="n"/>
      <c r="B73" s="14" t="n"/>
      <c r="C73" s="4" t="n"/>
      <c r="D73" s="14" t="n"/>
      <c r="E73" s="15" t="n"/>
      <c r="F73" s="15" t="n"/>
      <c r="G73" s="15" t="n"/>
      <c r="H73" s="15" t="n"/>
      <c r="I73" s="15" t="n"/>
      <c r="J73" s="15" t="n"/>
      <c r="K73" s="15" t="n"/>
      <c r="L73" s="16">
        <f>IF(COUNTIF(E73:K73,"X")=0,"",COUNTIF(E73:K73,"X"))</f>
        <v/>
      </c>
      <c r="M73" s="14" t="n"/>
    </row>
    <row r="74">
      <c r="A74" s="14" t="n"/>
      <c r="B74" s="14" t="n"/>
      <c r="C74" s="4" t="n"/>
      <c r="D74" s="14" t="n"/>
      <c r="E74" s="15" t="n"/>
      <c r="F74" s="15" t="n"/>
      <c r="G74" s="15" t="n"/>
      <c r="H74" s="15" t="n"/>
      <c r="I74" s="15" t="n"/>
      <c r="J74" s="15" t="n"/>
      <c r="K74" s="15" t="n"/>
      <c r="L74" s="16">
        <f>IF(COUNTIF(E74:K74,"X")=0,"",COUNTIF(E74:K74,"X"))</f>
        <v/>
      </c>
      <c r="M74" s="14" t="n"/>
    </row>
    <row r="75">
      <c r="A75" s="14" t="n"/>
      <c r="B75" s="14" t="n"/>
      <c r="C75" s="4" t="n"/>
      <c r="D75" s="14" t="n"/>
      <c r="E75" s="15" t="n"/>
      <c r="F75" s="15" t="n"/>
      <c r="G75" s="15" t="n"/>
      <c r="H75" s="15" t="n"/>
      <c r="I75" s="15" t="n"/>
      <c r="J75" s="15" t="n"/>
      <c r="K75" s="15" t="n"/>
      <c r="L75" s="16">
        <f>IF(COUNTIF(E75:K75,"X")=0,"",COUNTIF(E75:K75,"X"))</f>
        <v/>
      </c>
      <c r="M75" s="14" t="n"/>
    </row>
    <row r="76">
      <c r="A76" s="14" t="n"/>
      <c r="B76" s="14" t="n"/>
      <c r="C76" s="4" t="n"/>
      <c r="D76" s="14" t="n"/>
      <c r="E76" s="15" t="n"/>
      <c r="F76" s="15" t="n"/>
      <c r="G76" s="15" t="n"/>
      <c r="H76" s="15" t="n"/>
      <c r="I76" s="15" t="n"/>
      <c r="J76" s="15" t="n"/>
      <c r="K76" s="15" t="n"/>
      <c r="L76" s="16">
        <f>IF(COUNTIF(E76:K76,"X")=0,"",COUNTIF(E76:K76,"X"))</f>
        <v/>
      </c>
      <c r="M76" s="14" t="n"/>
    </row>
    <row r="77">
      <c r="A77" s="14" t="n"/>
      <c r="B77" s="14" t="n"/>
      <c r="C77" s="4" t="n"/>
      <c r="D77" s="14" t="n"/>
      <c r="E77" s="15" t="n"/>
      <c r="F77" s="15" t="n"/>
      <c r="G77" s="15" t="n"/>
      <c r="H77" s="15" t="n"/>
      <c r="I77" s="15" t="n"/>
      <c r="J77" s="15" t="n"/>
      <c r="K77" s="15" t="n"/>
      <c r="L77" s="16">
        <f>IF(COUNTIF(E77:K77,"X")=0,"",COUNTIF(E77:K77,"X"))</f>
        <v/>
      </c>
      <c r="M77" s="14" t="n"/>
    </row>
    <row r="78">
      <c r="A78" s="14" t="n"/>
      <c r="B78" s="14" t="n"/>
      <c r="C78" s="4" t="n"/>
      <c r="D78" s="14" t="n"/>
      <c r="E78" s="15" t="n"/>
      <c r="F78" s="15" t="n"/>
      <c r="G78" s="15" t="n"/>
      <c r="H78" s="15" t="n"/>
      <c r="I78" s="15" t="n"/>
      <c r="J78" s="15" t="n"/>
      <c r="K78" s="15" t="n"/>
      <c r="L78" s="16">
        <f>IF(COUNTIF(E78:K78,"X")=0,"",COUNTIF(E78:K78,"X"))</f>
        <v/>
      </c>
      <c r="M78" s="14" t="n"/>
    </row>
    <row r="79">
      <c r="A79" s="14" t="n"/>
      <c r="B79" s="14" t="n"/>
      <c r="C79" s="4" t="n"/>
      <c r="D79" s="14" t="n"/>
      <c r="E79" s="15" t="n"/>
      <c r="F79" s="15" t="n"/>
      <c r="G79" s="15" t="n"/>
      <c r="H79" s="15" t="n"/>
      <c r="I79" s="15" t="n"/>
      <c r="J79" s="15" t="n"/>
      <c r="K79" s="15" t="n"/>
      <c r="L79" s="16">
        <f>IF(COUNTIF(E79:K79,"X")=0,"",COUNTIF(E79:K79,"X"))</f>
        <v/>
      </c>
      <c r="M79" s="14" t="n"/>
    </row>
    <row r="80">
      <c r="A80" s="14" t="n"/>
      <c r="B80" s="14" t="n"/>
      <c r="C80" s="4" t="n"/>
      <c r="D80" s="14" t="n"/>
      <c r="E80" s="15" t="n"/>
      <c r="F80" s="15" t="n"/>
      <c r="G80" s="15" t="n"/>
      <c r="H80" s="15" t="n"/>
      <c r="I80" s="15" t="n"/>
      <c r="J80" s="15" t="n"/>
      <c r="K80" s="15" t="n"/>
      <c r="L80" s="16">
        <f>IF(COUNTIF(E80:K80,"X")=0,"",COUNTIF(E80:K80,"X"))</f>
        <v/>
      </c>
      <c r="M80" s="14" t="n"/>
    </row>
    <row r="81">
      <c r="A81" s="14" t="n"/>
      <c r="B81" s="14" t="n"/>
      <c r="C81" s="4" t="n"/>
      <c r="D81" s="14" t="n"/>
      <c r="E81" s="15" t="n"/>
      <c r="F81" s="15" t="n"/>
      <c r="G81" s="15" t="n"/>
      <c r="H81" s="15" t="n"/>
      <c r="I81" s="15" t="n"/>
      <c r="J81" s="15" t="n"/>
      <c r="K81" s="15" t="n"/>
      <c r="L81" s="16">
        <f>IF(COUNTIF(E81:K81,"X")=0,"",COUNTIF(E81:K81,"X"))</f>
        <v/>
      </c>
      <c r="M81" s="14" t="n"/>
    </row>
    <row r="82">
      <c r="A82" s="14" t="n"/>
      <c r="B82" s="14" t="n"/>
      <c r="C82" s="4" t="n"/>
      <c r="D82" s="14" t="n"/>
      <c r="E82" s="15" t="n"/>
      <c r="F82" s="15" t="n"/>
      <c r="G82" s="15" t="n"/>
      <c r="H82" s="15" t="n"/>
      <c r="I82" s="15" t="n"/>
      <c r="J82" s="15" t="n"/>
      <c r="K82" s="15" t="n"/>
      <c r="L82" s="16">
        <f>IF(COUNTIF(E82:K82,"X")=0,"",COUNTIF(E82:K82,"X"))</f>
        <v/>
      </c>
      <c r="M82" s="14" t="n"/>
    </row>
    <row r="83">
      <c r="A83" s="14" t="n"/>
      <c r="B83" s="14" t="n"/>
      <c r="C83" s="4" t="n"/>
      <c r="D83" s="14" t="n"/>
      <c r="E83" s="15" t="n"/>
      <c r="F83" s="15" t="n"/>
      <c r="G83" s="15" t="n"/>
      <c r="H83" s="15" t="n"/>
      <c r="I83" s="15" t="n"/>
      <c r="J83" s="15" t="n"/>
      <c r="K83" s="15" t="n"/>
      <c r="L83" s="16">
        <f>IF(COUNTIF(E83:K83,"X")=0,"",COUNTIF(E83:K83,"X"))</f>
        <v/>
      </c>
      <c r="M83" s="14" t="n"/>
    </row>
    <row r="84">
      <c r="A84" s="14" t="n"/>
      <c r="B84" s="14" t="n"/>
      <c r="C84" s="4" t="n"/>
      <c r="D84" s="14" t="n"/>
      <c r="E84" s="15" t="n"/>
      <c r="F84" s="15" t="n"/>
      <c r="G84" s="15" t="n"/>
      <c r="H84" s="15" t="n"/>
      <c r="I84" s="15" t="n"/>
      <c r="J84" s="15" t="n"/>
      <c r="K84" s="15" t="n"/>
      <c r="L84" s="16">
        <f>IF(COUNTIF(E84:K84,"X")=0,"",COUNTIF(E84:K84,"X"))</f>
        <v/>
      </c>
      <c r="M84" s="14" t="n"/>
    </row>
    <row r="85">
      <c r="A85" s="14" t="n"/>
      <c r="B85" s="14" t="n"/>
      <c r="C85" s="4" t="n"/>
      <c r="D85" s="14" t="n"/>
      <c r="E85" s="15" t="n"/>
      <c r="F85" s="15" t="n"/>
      <c r="G85" s="15" t="n"/>
      <c r="H85" s="15" t="n"/>
      <c r="I85" s="15" t="n"/>
      <c r="J85" s="15" t="n"/>
      <c r="K85" s="15" t="n"/>
      <c r="L85" s="16">
        <f>IF(COUNTIF(E85:K85,"X")=0,"",COUNTIF(E85:K85,"X"))</f>
        <v/>
      </c>
      <c r="M85" s="14" t="n"/>
    </row>
    <row r="86">
      <c r="A86" s="14" t="n"/>
      <c r="B86" s="14" t="n"/>
      <c r="C86" s="4" t="n"/>
      <c r="D86" s="14" t="n"/>
      <c r="E86" s="15" t="n"/>
      <c r="F86" s="15" t="n"/>
      <c r="G86" s="15" t="n"/>
      <c r="H86" s="15" t="n"/>
      <c r="I86" s="15" t="n"/>
      <c r="J86" s="15" t="n"/>
      <c r="K86" s="15" t="n"/>
      <c r="L86" s="16">
        <f>IF(COUNTIF(E86:K86,"X")=0,"",COUNTIF(E86:K86,"X"))</f>
        <v/>
      </c>
      <c r="M86" s="14" t="n"/>
    </row>
    <row r="87">
      <c r="A87" s="14" t="n"/>
      <c r="B87" s="14" t="n"/>
      <c r="C87" s="4" t="n"/>
      <c r="D87" s="14" t="n"/>
      <c r="E87" s="15" t="n"/>
      <c r="F87" s="15" t="n"/>
      <c r="G87" s="15" t="n"/>
      <c r="H87" s="15" t="n"/>
      <c r="I87" s="15" t="n"/>
      <c r="J87" s="15" t="n"/>
      <c r="K87" s="15" t="n"/>
      <c r="L87" s="16">
        <f>IF(COUNTIF(E87:K87,"X")=0,"",COUNTIF(E87:K87,"X"))</f>
        <v/>
      </c>
      <c r="M87" s="14" t="n"/>
    </row>
    <row r="88">
      <c r="A88" s="14" t="n"/>
      <c r="B88" s="14" t="n"/>
      <c r="C88" s="4" t="n"/>
      <c r="D88" s="14" t="n"/>
      <c r="E88" s="15" t="n"/>
      <c r="F88" s="15" t="n"/>
      <c r="G88" s="15" t="n"/>
      <c r="H88" s="15" t="n"/>
      <c r="I88" s="15" t="n"/>
      <c r="J88" s="15" t="n"/>
      <c r="K88" s="15" t="n"/>
      <c r="L88" s="16">
        <f>IF(COUNTIF(E88:K88,"X")=0,"",COUNTIF(E88:K88,"X"))</f>
        <v/>
      </c>
      <c r="M88" s="14" t="n"/>
    </row>
    <row r="89">
      <c r="A89" s="14" t="n"/>
      <c r="B89" s="14" t="n"/>
      <c r="C89" s="4" t="n"/>
      <c r="D89" s="14" t="n"/>
      <c r="E89" s="15" t="n"/>
      <c r="F89" s="15" t="n"/>
      <c r="G89" s="15" t="n"/>
      <c r="H89" s="15" t="n"/>
      <c r="I89" s="15" t="n"/>
      <c r="J89" s="15" t="n"/>
      <c r="K89" s="15" t="n"/>
      <c r="L89" s="16">
        <f>IF(COUNTIF(E89:K89,"X")=0,"",COUNTIF(E89:K89,"X"))</f>
        <v/>
      </c>
      <c r="M89" s="14" t="n"/>
    </row>
    <row r="90">
      <c r="A90" s="14" t="n"/>
      <c r="B90" s="14" t="n"/>
      <c r="C90" s="4" t="n"/>
      <c r="D90" s="14" t="n"/>
      <c r="E90" s="15" t="n"/>
      <c r="F90" s="15" t="n"/>
      <c r="G90" s="15" t="n"/>
      <c r="H90" s="15" t="n"/>
      <c r="I90" s="15" t="n"/>
      <c r="J90" s="15" t="n"/>
      <c r="K90" s="15" t="n"/>
      <c r="L90" s="16">
        <f>IF(COUNTIF(E90:K90,"X")=0,"",COUNTIF(E90:K90,"X"))</f>
        <v/>
      </c>
      <c r="M90" s="14" t="n"/>
    </row>
    <row r="91">
      <c r="A91" s="14" t="n"/>
      <c r="B91" s="14" t="n"/>
      <c r="C91" s="4" t="n"/>
      <c r="D91" s="14" t="n"/>
      <c r="E91" s="15" t="n"/>
      <c r="F91" s="15" t="n"/>
      <c r="G91" s="15" t="n"/>
      <c r="H91" s="15" t="n"/>
      <c r="I91" s="15" t="n"/>
      <c r="J91" s="15" t="n"/>
      <c r="K91" s="15" t="n"/>
      <c r="L91" s="16">
        <f>IF(COUNTIF(E91:K91,"X")=0,"",COUNTIF(E91:K91,"X"))</f>
        <v/>
      </c>
      <c r="M91" s="14" t="n"/>
    </row>
    <row r="92">
      <c r="A92" s="14" t="n"/>
      <c r="B92" s="14" t="n"/>
      <c r="C92" s="4" t="n"/>
      <c r="D92" s="14" t="n"/>
      <c r="E92" s="15" t="n"/>
      <c r="F92" s="15" t="n"/>
      <c r="G92" s="15" t="n"/>
      <c r="H92" s="15" t="n"/>
      <c r="I92" s="15" t="n"/>
      <c r="J92" s="15" t="n"/>
      <c r="K92" s="15" t="n"/>
      <c r="L92" s="16">
        <f>IF(COUNTIF(E92:K92,"X")=0,"",COUNTIF(E92:K92,"X"))</f>
        <v/>
      </c>
      <c r="M92" s="14" t="n"/>
    </row>
    <row r="93">
      <c r="A93" s="14" t="n"/>
      <c r="B93" s="14" t="n"/>
      <c r="C93" s="4" t="n"/>
      <c r="D93" s="14" t="n"/>
      <c r="E93" s="15" t="n"/>
      <c r="F93" s="15" t="n"/>
      <c r="G93" s="15" t="n"/>
      <c r="H93" s="15" t="n"/>
      <c r="I93" s="15" t="n"/>
      <c r="J93" s="15" t="n"/>
      <c r="K93" s="15" t="n"/>
      <c r="L93" s="16">
        <f>IF(COUNTIF(E93:K93,"X")=0,"",COUNTIF(E93:K93,"X"))</f>
        <v/>
      </c>
      <c r="M93" s="14" t="n"/>
    </row>
    <row r="94">
      <c r="A94" s="14" t="n"/>
      <c r="B94" s="14" t="n"/>
      <c r="C94" s="4" t="n"/>
      <c r="D94" s="14" t="n"/>
      <c r="E94" s="15" t="n"/>
      <c r="F94" s="15" t="n"/>
      <c r="G94" s="15" t="n"/>
      <c r="H94" s="15" t="n"/>
      <c r="I94" s="15" t="n"/>
      <c r="J94" s="15" t="n"/>
      <c r="K94" s="15" t="n"/>
      <c r="L94" s="16">
        <f>IF(COUNTIF(E94:K94,"X")=0,"",COUNTIF(E94:K94,"X"))</f>
        <v/>
      </c>
      <c r="M94" s="14" t="n"/>
    </row>
    <row r="95">
      <c r="A95" s="14" t="n"/>
      <c r="B95" s="14" t="n"/>
      <c r="C95" s="4" t="n"/>
      <c r="D95" s="14" t="n"/>
      <c r="E95" s="15" t="n"/>
      <c r="F95" s="15" t="n"/>
      <c r="G95" s="15" t="n"/>
      <c r="H95" s="15" t="n"/>
      <c r="I95" s="15" t="n"/>
      <c r="J95" s="15" t="n"/>
      <c r="K95" s="15" t="n"/>
      <c r="L95" s="16">
        <f>IF(COUNTIF(E95:K95,"X")=0,"",COUNTIF(E95:K95,"X"))</f>
        <v/>
      </c>
      <c r="M95" s="14" t="n"/>
    </row>
    <row r="96">
      <c r="A96" s="14" t="n"/>
      <c r="B96" s="14" t="n"/>
      <c r="C96" s="4" t="n"/>
      <c r="D96" s="14" t="n"/>
      <c r="E96" s="15" t="n"/>
      <c r="F96" s="15" t="n"/>
      <c r="G96" s="15" t="n"/>
      <c r="H96" s="15" t="n"/>
      <c r="I96" s="15" t="n"/>
      <c r="J96" s="15" t="n"/>
      <c r="K96" s="15" t="n"/>
      <c r="L96" s="16">
        <f>IF(COUNTIF(E96:K96,"X")=0,"",COUNTIF(E96:K96,"X"))</f>
        <v/>
      </c>
      <c r="M96" s="14" t="n"/>
    </row>
    <row r="97">
      <c r="A97" s="14" t="n"/>
      <c r="B97" s="14" t="n"/>
      <c r="C97" s="4" t="n"/>
      <c r="D97" s="14" t="n"/>
      <c r="E97" s="15" t="n"/>
      <c r="F97" s="15" t="n"/>
      <c r="G97" s="15" t="n"/>
      <c r="H97" s="15" t="n"/>
      <c r="I97" s="15" t="n"/>
      <c r="J97" s="15" t="n"/>
      <c r="K97" s="15" t="n"/>
      <c r="L97" s="16">
        <f>IF(COUNTIF(E97:K97,"X")=0,"",COUNTIF(E97:K97,"X"))</f>
        <v/>
      </c>
      <c r="M97" s="14" t="n"/>
    </row>
    <row r="98">
      <c r="A98" s="14" t="n"/>
      <c r="B98" s="14" t="n"/>
      <c r="C98" s="4" t="n"/>
      <c r="D98" s="14" t="n"/>
      <c r="E98" s="15" t="n"/>
      <c r="F98" s="15" t="n"/>
      <c r="G98" s="15" t="n"/>
      <c r="H98" s="15" t="n"/>
      <c r="I98" s="15" t="n"/>
      <c r="J98" s="15" t="n"/>
      <c r="K98" s="15" t="n"/>
      <c r="L98" s="16">
        <f>IF(COUNTIF(E98:K98,"X")=0,"",COUNTIF(E98:K98,"X"))</f>
        <v/>
      </c>
      <c r="M98" s="14" t="n"/>
    </row>
    <row r="99">
      <c r="A99" s="14" t="n"/>
      <c r="B99" s="14" t="n"/>
      <c r="C99" s="4" t="n"/>
      <c r="D99" s="14" t="n"/>
      <c r="E99" s="15" t="n"/>
      <c r="F99" s="15" t="n"/>
      <c r="G99" s="15" t="n"/>
      <c r="H99" s="15" t="n"/>
      <c r="I99" s="15" t="n"/>
      <c r="J99" s="15" t="n"/>
      <c r="K99" s="15" t="n"/>
      <c r="L99" s="16">
        <f>IF(COUNTIF(E99:K99,"X")=0,"",COUNTIF(E99:K99,"X"))</f>
        <v/>
      </c>
      <c r="M99" s="14" t="n"/>
    </row>
    <row r="100">
      <c r="A100" s="14" t="n"/>
      <c r="B100" s="14" t="n"/>
      <c r="C100" s="4" t="n"/>
      <c r="D100" s="14" t="n"/>
      <c r="E100" s="15" t="n"/>
      <c r="F100" s="15" t="n"/>
      <c r="G100" s="15" t="n"/>
      <c r="H100" s="15" t="n"/>
      <c r="I100" s="15" t="n"/>
      <c r="J100" s="15" t="n"/>
      <c r="K100" s="15" t="n"/>
      <c r="L100" s="16">
        <f>IF(COUNTIF(E100:K100,"X")=0,"",COUNTIF(E100:K100,"X"))</f>
        <v/>
      </c>
      <c r="M100" s="14" t="n"/>
    </row>
    <row r="101">
      <c r="A101" s="14" t="n"/>
      <c r="B101" s="14" t="n"/>
      <c r="C101" s="4" t="n"/>
      <c r="D101" s="14" t="n"/>
      <c r="E101" s="15" t="n"/>
      <c r="F101" s="15" t="n"/>
      <c r="G101" s="15" t="n"/>
      <c r="H101" s="15" t="n"/>
      <c r="I101" s="15" t="n"/>
      <c r="J101" s="15" t="n"/>
      <c r="K101" s="15" t="n"/>
      <c r="L101" s="16">
        <f>IF(COUNTIF(E101:K101,"X")=0,"",COUNTIF(E101:K101,"X"))</f>
        <v/>
      </c>
      <c r="M101" s="14" t="n"/>
    </row>
    <row r="102">
      <c r="A102" s="14" t="n"/>
      <c r="B102" s="14" t="n"/>
      <c r="C102" s="4" t="n"/>
      <c r="D102" s="14" t="n"/>
      <c r="E102" s="15" t="n"/>
      <c r="F102" s="15" t="n"/>
      <c r="G102" s="15" t="n"/>
      <c r="H102" s="15" t="n"/>
      <c r="I102" s="15" t="n"/>
      <c r="J102" s="15" t="n"/>
      <c r="K102" s="15" t="n"/>
      <c r="L102" s="16">
        <f>IF(COUNTIF(E102:K102,"X")=0,"",COUNTIF(E102:K102,"X"))</f>
        <v/>
      </c>
      <c r="M102" s="14" t="n"/>
    </row>
    <row r="103">
      <c r="A103" s="14" t="n"/>
      <c r="B103" s="14" t="n"/>
      <c r="C103" s="4" t="n"/>
      <c r="D103" s="14" t="n"/>
      <c r="E103" s="15" t="n"/>
      <c r="F103" s="15" t="n"/>
      <c r="G103" s="15" t="n"/>
      <c r="H103" s="15" t="n"/>
      <c r="I103" s="15" t="n"/>
      <c r="J103" s="15" t="n"/>
      <c r="K103" s="15" t="n"/>
      <c r="L103" s="16">
        <f>IF(COUNTIF(E103:K103,"X")=0,"",COUNTIF(E103:K103,"X"))</f>
        <v/>
      </c>
      <c r="M103" s="14" t="n"/>
    </row>
    <row r="104">
      <c r="A104" s="14" t="n"/>
      <c r="B104" s="14" t="n"/>
      <c r="C104" s="4" t="n"/>
      <c r="D104" s="14" t="n"/>
      <c r="E104" s="15" t="n"/>
      <c r="F104" s="15" t="n"/>
      <c r="G104" s="15" t="n"/>
      <c r="H104" s="15" t="n"/>
      <c r="I104" s="15" t="n"/>
      <c r="J104" s="15" t="n"/>
      <c r="K104" s="15" t="n"/>
      <c r="L104" s="16">
        <f>IF(COUNTIF(E104:K104,"X")=0,"",COUNTIF(E104:K104,"X"))</f>
        <v/>
      </c>
      <c r="M104" s="14" t="n"/>
    </row>
    <row r="105">
      <c r="A105" s="14" t="n"/>
      <c r="B105" s="14" t="n"/>
      <c r="C105" s="4" t="n"/>
      <c r="D105" s="14" t="n"/>
      <c r="E105" s="15" t="n"/>
      <c r="F105" s="15" t="n"/>
      <c r="G105" s="15" t="n"/>
      <c r="H105" s="15" t="n"/>
      <c r="I105" s="15" t="n"/>
      <c r="J105" s="15" t="n"/>
      <c r="K105" s="15" t="n"/>
      <c r="L105" s="16">
        <f>IF(COUNTIF(E105:K105,"X")=0,"",COUNTIF(E105:K105,"X"))</f>
        <v/>
      </c>
      <c r="M105" s="14" t="n"/>
    </row>
    <row r="106">
      <c r="A106" s="14" t="n"/>
      <c r="B106" s="14" t="n"/>
      <c r="C106" s="4" t="n"/>
      <c r="D106" s="14" t="n"/>
      <c r="E106" s="15" t="n"/>
      <c r="F106" s="15" t="n"/>
      <c r="G106" s="15" t="n"/>
      <c r="H106" s="15" t="n"/>
      <c r="I106" s="15" t="n"/>
      <c r="J106" s="15" t="n"/>
      <c r="K106" s="15" t="n"/>
      <c r="L106" s="16">
        <f>IF(COUNTIF(E106:K106,"X")=0,"",COUNTIF(E106:K106,"X"))</f>
        <v/>
      </c>
      <c r="M106" s="14" t="n"/>
    </row>
    <row r="107">
      <c r="A107" s="14" t="n"/>
      <c r="B107" s="14" t="n"/>
      <c r="C107" s="4" t="n"/>
      <c r="D107" s="14" t="n"/>
      <c r="E107" s="15" t="n"/>
      <c r="F107" s="15" t="n"/>
      <c r="G107" s="15" t="n"/>
      <c r="H107" s="15" t="n"/>
      <c r="I107" s="15" t="n"/>
      <c r="J107" s="15" t="n"/>
      <c r="K107" s="15" t="n"/>
      <c r="L107" s="16">
        <f>IF(COUNTIF(E107:K107,"X")=0,"",COUNTIF(E107:K107,"X"))</f>
        <v/>
      </c>
      <c r="M107" s="14" t="n"/>
    </row>
    <row r="108">
      <c r="A108" s="14" t="n"/>
      <c r="B108" s="14" t="n"/>
      <c r="C108" s="4" t="n"/>
      <c r="D108" s="14" t="n"/>
      <c r="E108" s="15" t="n"/>
      <c r="F108" s="15" t="n"/>
      <c r="G108" s="15" t="n"/>
      <c r="H108" s="15" t="n"/>
      <c r="I108" s="15" t="n"/>
      <c r="J108" s="15" t="n"/>
      <c r="K108" s="15" t="n"/>
      <c r="L108" s="16">
        <f>IF(COUNTIF(E108:K108,"X")=0,"",COUNTIF(E108:K108,"X"))</f>
        <v/>
      </c>
      <c r="M108" s="14" t="n"/>
    </row>
    <row r="109">
      <c r="A109" s="14" t="n"/>
      <c r="B109" s="14" t="n"/>
      <c r="C109" s="4" t="n"/>
      <c r="D109" s="14" t="n"/>
      <c r="E109" s="15" t="n"/>
      <c r="F109" s="15" t="n"/>
      <c r="G109" s="15" t="n"/>
      <c r="H109" s="15" t="n"/>
      <c r="I109" s="15" t="n"/>
      <c r="J109" s="15" t="n"/>
      <c r="K109" s="15" t="n"/>
      <c r="L109" s="16">
        <f>IF(COUNTIF(E109:K109,"X")=0,"",COUNTIF(E109:K109,"X"))</f>
        <v/>
      </c>
      <c r="M109" s="14" t="n"/>
    </row>
    <row r="110">
      <c r="A110" s="14" t="n"/>
      <c r="B110" s="14" t="n"/>
      <c r="C110" s="4" t="n"/>
      <c r="D110" s="14" t="n"/>
      <c r="E110" s="15" t="n"/>
      <c r="F110" s="15" t="n"/>
      <c r="G110" s="15" t="n"/>
      <c r="H110" s="15" t="n"/>
      <c r="I110" s="15" t="n"/>
      <c r="J110" s="15" t="n"/>
      <c r="K110" s="15" t="n"/>
      <c r="L110" s="16">
        <f>IF(COUNTIF(E110:K110,"X")=0,"",COUNTIF(E110:K110,"X"))</f>
        <v/>
      </c>
      <c r="M110" s="14" t="n"/>
    </row>
    <row r="111">
      <c r="A111" s="14" t="n"/>
      <c r="B111" s="14" t="n"/>
      <c r="C111" s="4" t="n"/>
      <c r="D111" s="14" t="n"/>
      <c r="E111" s="15" t="n"/>
      <c r="F111" s="15" t="n"/>
      <c r="G111" s="15" t="n"/>
      <c r="H111" s="15" t="n"/>
      <c r="I111" s="15" t="n"/>
      <c r="J111" s="15" t="n"/>
      <c r="K111" s="15" t="n"/>
      <c r="L111" s="16">
        <f>IF(COUNTIF(E111:K111,"X")=0,"",COUNTIF(E111:K111,"X"))</f>
        <v/>
      </c>
      <c r="M111" s="14" t="n"/>
    </row>
    <row r="112">
      <c r="A112" s="14" t="n"/>
      <c r="B112" s="14" t="n"/>
      <c r="C112" s="4" t="n"/>
      <c r="D112" s="14" t="n"/>
      <c r="E112" s="15" t="n"/>
      <c r="F112" s="15" t="n"/>
      <c r="G112" s="15" t="n"/>
      <c r="H112" s="15" t="n"/>
      <c r="I112" s="15" t="n"/>
      <c r="J112" s="15" t="n"/>
      <c r="K112" s="15" t="n"/>
      <c r="L112" s="16">
        <f>IF(COUNTIF(E112:K112,"X")=0,"",COUNTIF(E112:K112,"X"))</f>
        <v/>
      </c>
      <c r="M112" s="14" t="n"/>
    </row>
    <row r="113">
      <c r="A113" s="14" t="n"/>
      <c r="B113" s="14" t="n"/>
      <c r="C113" s="4" t="n"/>
      <c r="D113" s="14" t="n"/>
      <c r="E113" s="15" t="n"/>
      <c r="F113" s="15" t="n"/>
      <c r="G113" s="15" t="n"/>
      <c r="H113" s="15" t="n"/>
      <c r="I113" s="15" t="n"/>
      <c r="J113" s="15" t="n"/>
      <c r="K113" s="15" t="n"/>
      <c r="L113" s="16">
        <f>IF(COUNTIF(E113:K113,"X")=0,"",COUNTIF(E113:K113,"X"))</f>
        <v/>
      </c>
      <c r="M113" s="14" t="n"/>
    </row>
    <row r="114">
      <c r="A114" s="14" t="n"/>
      <c r="B114" s="14" t="n"/>
      <c r="C114" s="4" t="n"/>
      <c r="D114" s="14" t="n"/>
      <c r="E114" s="15" t="n"/>
      <c r="F114" s="15" t="n"/>
      <c r="G114" s="15" t="n"/>
      <c r="H114" s="15" t="n"/>
      <c r="I114" s="15" t="n"/>
      <c r="J114" s="15" t="n"/>
      <c r="K114" s="15" t="n"/>
      <c r="L114" s="16">
        <f>IF(COUNTIF(E114:K114,"X")=0,"",COUNTIF(E114:K114,"X"))</f>
        <v/>
      </c>
      <c r="M114" s="14" t="n"/>
    </row>
    <row r="115">
      <c r="A115" s="14" t="n"/>
      <c r="B115" s="14" t="n"/>
      <c r="C115" s="4" t="n"/>
      <c r="D115" s="14" t="n"/>
      <c r="E115" s="15" t="n"/>
      <c r="F115" s="15" t="n"/>
      <c r="G115" s="15" t="n"/>
      <c r="H115" s="15" t="n"/>
      <c r="I115" s="15" t="n"/>
      <c r="J115" s="15" t="n"/>
      <c r="K115" s="15" t="n"/>
      <c r="L115" s="16">
        <f>IF(COUNTIF(E115:K115,"X")=0,"",COUNTIF(E115:K115,"X"))</f>
        <v/>
      </c>
      <c r="M115" s="14" t="n"/>
    </row>
    <row r="116">
      <c r="A116" s="14" t="n"/>
      <c r="B116" s="14" t="n"/>
      <c r="C116" s="4" t="n"/>
      <c r="D116" s="14" t="n"/>
      <c r="E116" s="15" t="n"/>
      <c r="F116" s="15" t="n"/>
      <c r="G116" s="15" t="n"/>
      <c r="H116" s="15" t="n"/>
      <c r="I116" s="15" t="n"/>
      <c r="J116" s="15" t="n"/>
      <c r="K116" s="15" t="n"/>
      <c r="L116" s="16">
        <f>IF(COUNTIF(E116:K116,"X")=0,"",COUNTIF(E116:K116,"X"))</f>
        <v/>
      </c>
      <c r="M116" s="14" t="n"/>
    </row>
    <row r="117">
      <c r="A117" s="14" t="n"/>
      <c r="B117" s="14" t="n"/>
      <c r="C117" s="4" t="n"/>
      <c r="D117" s="14" t="n"/>
      <c r="E117" s="15" t="n"/>
      <c r="F117" s="15" t="n"/>
      <c r="G117" s="15" t="n"/>
      <c r="H117" s="15" t="n"/>
      <c r="I117" s="15" t="n"/>
      <c r="J117" s="15" t="n"/>
      <c r="K117" s="15" t="n"/>
      <c r="L117" s="16">
        <f>IF(COUNTIF(E117:K117,"X")=0,"",COUNTIF(E117:K117,"X"))</f>
        <v/>
      </c>
      <c r="M117" s="14" t="n"/>
    </row>
    <row r="118">
      <c r="A118" s="14" t="n"/>
      <c r="B118" s="14" t="n"/>
      <c r="C118" s="4" t="n"/>
      <c r="D118" s="14" t="n"/>
      <c r="E118" s="15" t="n"/>
      <c r="F118" s="15" t="n"/>
      <c r="G118" s="15" t="n"/>
      <c r="H118" s="15" t="n"/>
      <c r="I118" s="15" t="n"/>
      <c r="J118" s="15" t="n"/>
      <c r="K118" s="15" t="n"/>
      <c r="L118" s="16">
        <f>IF(COUNTIF(E118:K118,"X")=0,"",COUNTIF(E118:K118,"X"))</f>
        <v/>
      </c>
      <c r="M118" s="14" t="n"/>
    </row>
    <row r="119">
      <c r="A119" s="14" t="n"/>
      <c r="B119" s="14" t="n"/>
      <c r="C119" s="4" t="n"/>
      <c r="D119" s="14" t="n"/>
      <c r="E119" s="15" t="n"/>
      <c r="F119" s="15" t="n"/>
      <c r="G119" s="15" t="n"/>
      <c r="H119" s="15" t="n"/>
      <c r="I119" s="15" t="n"/>
      <c r="J119" s="15" t="n"/>
      <c r="K119" s="15" t="n"/>
      <c r="L119" s="16">
        <f>IF(COUNTIF(E119:K119,"X")=0,"",COUNTIF(E119:K119,"X"))</f>
        <v/>
      </c>
      <c r="M119" s="14" t="n"/>
    </row>
    <row r="120">
      <c r="A120" s="14" t="n"/>
      <c r="B120" s="14" t="n"/>
      <c r="C120" s="4" t="n"/>
      <c r="D120" s="14" t="n"/>
      <c r="E120" s="15" t="n"/>
      <c r="F120" s="15" t="n"/>
      <c r="G120" s="15" t="n"/>
      <c r="H120" s="15" t="n"/>
      <c r="I120" s="15" t="n"/>
      <c r="J120" s="15" t="n"/>
      <c r="K120" s="15" t="n"/>
      <c r="L120" s="16">
        <f>IF(COUNTIF(E120:K120,"X")=0,"",COUNTIF(E120:K120,"X"))</f>
        <v/>
      </c>
      <c r="M120" s="14" t="n"/>
    </row>
    <row r="121">
      <c r="A121" s="14" t="n"/>
      <c r="B121" s="14" t="n"/>
      <c r="C121" s="4" t="n"/>
      <c r="D121" s="14" t="n"/>
      <c r="E121" s="15" t="n"/>
      <c r="F121" s="15" t="n"/>
      <c r="G121" s="15" t="n"/>
      <c r="H121" s="15" t="n"/>
      <c r="I121" s="15" t="n"/>
      <c r="J121" s="15" t="n"/>
      <c r="K121" s="15" t="n"/>
      <c r="L121" s="16">
        <f>IF(COUNTIF(E121:K121,"X")=0,"",COUNTIF(E121:K121,"X"))</f>
        <v/>
      </c>
      <c r="M121" s="14" t="n"/>
    </row>
    <row r="122">
      <c r="A122" s="14" t="n"/>
      <c r="B122" s="14" t="n"/>
      <c r="C122" s="4" t="n"/>
      <c r="D122" s="14" t="n"/>
      <c r="E122" s="15" t="n"/>
      <c r="F122" s="15" t="n"/>
      <c r="G122" s="15" t="n"/>
      <c r="H122" s="15" t="n"/>
      <c r="I122" s="15" t="n"/>
      <c r="J122" s="15" t="n"/>
      <c r="K122" s="15" t="n"/>
      <c r="L122" s="16">
        <f>IF(COUNTIF(E122:K122,"X")=0,"",COUNTIF(E122:K122,"X"))</f>
        <v/>
      </c>
      <c r="M122" s="14" t="n"/>
    </row>
    <row r="123">
      <c r="A123" s="14" t="n"/>
      <c r="B123" s="14" t="n"/>
      <c r="C123" s="4" t="n"/>
      <c r="D123" s="14" t="n"/>
      <c r="E123" s="15" t="n"/>
      <c r="F123" s="15" t="n"/>
      <c r="G123" s="15" t="n"/>
      <c r="H123" s="15" t="n"/>
      <c r="I123" s="15" t="n"/>
      <c r="J123" s="15" t="n"/>
      <c r="K123" s="15" t="n"/>
      <c r="L123" s="16">
        <f>IF(COUNTIF(E123:K123,"X")=0,"",COUNTIF(E123:K123,"X"))</f>
        <v/>
      </c>
      <c r="M123" s="14" t="n"/>
    </row>
    <row r="124">
      <c r="A124" s="14" t="n"/>
      <c r="B124" s="14" t="n"/>
      <c r="C124" s="4" t="n"/>
      <c r="D124" s="14" t="n"/>
      <c r="E124" s="15" t="n"/>
      <c r="F124" s="15" t="n"/>
      <c r="G124" s="15" t="n"/>
      <c r="H124" s="15" t="n"/>
      <c r="I124" s="15" t="n"/>
      <c r="J124" s="15" t="n"/>
      <c r="K124" s="15" t="n"/>
      <c r="L124" s="16">
        <f>IF(COUNTIF(E124:K124,"X")=0,"",COUNTIF(E124:K124,"X"))</f>
        <v/>
      </c>
      <c r="M124" s="14" t="n"/>
    </row>
    <row r="125">
      <c r="A125" s="14" t="n"/>
      <c r="B125" s="14" t="n"/>
      <c r="C125" s="4" t="n"/>
      <c r="D125" s="14" t="n"/>
      <c r="E125" s="15" t="n"/>
      <c r="F125" s="15" t="n"/>
      <c r="G125" s="15" t="n"/>
      <c r="H125" s="15" t="n"/>
      <c r="I125" s="15" t="n"/>
      <c r="J125" s="15" t="n"/>
      <c r="K125" s="15" t="n"/>
      <c r="L125" s="16">
        <f>IF(COUNTIF(E125:K125,"X")=0,"",COUNTIF(E125:K125,"X"))</f>
        <v/>
      </c>
      <c r="M125" s="14" t="n"/>
    </row>
    <row r="126">
      <c r="A126" s="14" t="n"/>
      <c r="B126" s="14" t="n"/>
      <c r="C126" s="4" t="n"/>
      <c r="D126" s="14" t="n"/>
      <c r="E126" s="15" t="n"/>
      <c r="F126" s="15" t="n"/>
      <c r="G126" s="15" t="n"/>
      <c r="H126" s="15" t="n"/>
      <c r="I126" s="15" t="n"/>
      <c r="J126" s="15" t="n"/>
      <c r="K126" s="15" t="n"/>
      <c r="L126" s="16">
        <f>IF(COUNTIF(E126:K126,"X")=0,"",COUNTIF(E126:K126,"X"))</f>
        <v/>
      </c>
      <c r="M126" s="14" t="n"/>
    </row>
    <row r="127">
      <c r="A127" s="14" t="n"/>
      <c r="B127" s="14" t="n"/>
      <c r="C127" s="4" t="n"/>
      <c r="D127" s="14" t="n"/>
      <c r="E127" s="15" t="n"/>
      <c r="F127" s="15" t="n"/>
      <c r="G127" s="15" t="n"/>
      <c r="H127" s="15" t="n"/>
      <c r="I127" s="15" t="n"/>
      <c r="J127" s="15" t="n"/>
      <c r="K127" s="15" t="n"/>
      <c r="L127" s="16">
        <f>IF(COUNTIF(E127:K127,"X")=0,"",COUNTIF(E127:K127,"X"))</f>
        <v/>
      </c>
      <c r="M127" s="14" t="n"/>
    </row>
    <row r="128">
      <c r="A128" s="14" t="n"/>
      <c r="B128" s="14" t="n"/>
      <c r="C128" s="4" t="n"/>
      <c r="D128" s="14" t="n"/>
      <c r="E128" s="15" t="n"/>
      <c r="F128" s="15" t="n"/>
      <c r="G128" s="15" t="n"/>
      <c r="H128" s="15" t="n"/>
      <c r="I128" s="15" t="n"/>
      <c r="J128" s="15" t="n"/>
      <c r="K128" s="15" t="n"/>
      <c r="L128" s="16">
        <f>IF(COUNTIF(E128:K128,"X")=0,"",COUNTIF(E128:K128,"X"))</f>
        <v/>
      </c>
      <c r="M128" s="14" t="n"/>
    </row>
    <row r="129">
      <c r="A129" s="14" t="n"/>
      <c r="B129" s="14" t="n"/>
      <c r="C129" s="4" t="n"/>
      <c r="D129" s="14" t="n"/>
      <c r="E129" s="15" t="n"/>
      <c r="F129" s="15" t="n"/>
      <c r="G129" s="15" t="n"/>
      <c r="H129" s="15" t="n"/>
      <c r="I129" s="15" t="n"/>
      <c r="J129" s="15" t="n"/>
      <c r="K129" s="15" t="n"/>
      <c r="L129" s="16">
        <f>IF(COUNTIF(E129:K129,"X")=0,"",COUNTIF(E129:K129,"X"))</f>
        <v/>
      </c>
      <c r="M129" s="14" t="n"/>
    </row>
    <row r="130">
      <c r="A130" s="14" t="n"/>
      <c r="B130" s="14" t="n"/>
      <c r="C130" s="4" t="n"/>
      <c r="D130" s="14" t="n"/>
      <c r="E130" s="15" t="n"/>
      <c r="F130" s="15" t="n"/>
      <c r="G130" s="15" t="n"/>
      <c r="H130" s="15" t="n"/>
      <c r="I130" s="15" t="n"/>
      <c r="J130" s="15" t="n"/>
      <c r="K130" s="15" t="n"/>
      <c r="L130" s="16">
        <f>IF(COUNTIF(E130:K130,"X")=0,"",COUNTIF(E130:K130,"X"))</f>
        <v/>
      </c>
      <c r="M130" s="14" t="n"/>
    </row>
    <row r="131">
      <c r="A131" s="14" t="n"/>
      <c r="B131" s="14" t="n"/>
      <c r="C131" s="4" t="n"/>
      <c r="D131" s="14" t="n"/>
      <c r="E131" s="15" t="n"/>
      <c r="F131" s="15" t="n"/>
      <c r="G131" s="15" t="n"/>
      <c r="H131" s="15" t="n"/>
      <c r="I131" s="15" t="n"/>
      <c r="J131" s="15" t="n"/>
      <c r="K131" s="15" t="n"/>
      <c r="L131" s="16">
        <f>IF(COUNTIF(E131:K131,"X")=0,"",COUNTIF(E131:K131,"X"))</f>
        <v/>
      </c>
      <c r="M131" s="14" t="n"/>
    </row>
    <row r="132">
      <c r="A132" s="14" t="n"/>
      <c r="B132" s="14" t="n"/>
      <c r="C132" s="4" t="n"/>
      <c r="D132" s="14" t="n"/>
      <c r="E132" s="15" t="n"/>
      <c r="F132" s="15" t="n"/>
      <c r="G132" s="15" t="n"/>
      <c r="H132" s="15" t="n"/>
      <c r="I132" s="15" t="n"/>
      <c r="J132" s="15" t="n"/>
      <c r="K132" s="15" t="n"/>
      <c r="L132" s="16">
        <f>IF(COUNTIF(E132:K132,"X")=0,"",COUNTIF(E132:K132,"X"))</f>
        <v/>
      </c>
      <c r="M132" s="14" t="n"/>
    </row>
    <row r="133">
      <c r="A133" s="14" t="n"/>
      <c r="B133" s="14" t="n"/>
      <c r="C133" s="4" t="n"/>
      <c r="D133" s="14" t="n"/>
      <c r="E133" s="15" t="n"/>
      <c r="F133" s="15" t="n"/>
      <c r="G133" s="15" t="n"/>
      <c r="H133" s="15" t="n"/>
      <c r="I133" s="15" t="n"/>
      <c r="J133" s="15" t="n"/>
      <c r="K133" s="15" t="n"/>
      <c r="L133" s="16">
        <f>IF(COUNTIF(E133:K133,"X")=0,"",COUNTIF(E133:K133,"X"))</f>
        <v/>
      </c>
      <c r="M133" s="14" t="n"/>
    </row>
    <row r="134">
      <c r="A134" s="14" t="n"/>
      <c r="B134" s="14" t="n"/>
      <c r="C134" s="4" t="n"/>
      <c r="D134" s="14" t="n"/>
      <c r="E134" s="15" t="n"/>
      <c r="F134" s="15" t="n"/>
      <c r="G134" s="15" t="n"/>
      <c r="H134" s="15" t="n"/>
      <c r="I134" s="15" t="n"/>
      <c r="J134" s="15" t="n"/>
      <c r="K134" s="15" t="n"/>
      <c r="L134" s="16">
        <f>IF(COUNTIF(E134:K134,"X")=0,"",COUNTIF(E134:K134,"X"))</f>
        <v/>
      </c>
      <c r="M134" s="14" t="n"/>
    </row>
    <row r="135">
      <c r="A135" s="14" t="n"/>
      <c r="B135" s="14" t="n"/>
      <c r="C135" s="4" t="n"/>
      <c r="D135" s="14" t="n"/>
      <c r="E135" s="15" t="n"/>
      <c r="F135" s="15" t="n"/>
      <c r="G135" s="15" t="n"/>
      <c r="H135" s="15" t="n"/>
      <c r="I135" s="15" t="n"/>
      <c r="J135" s="15" t="n"/>
      <c r="K135" s="15" t="n"/>
      <c r="L135" s="16">
        <f>IF(COUNTIF(E135:K135,"X")=0,"",COUNTIF(E135:K135,"X"))</f>
        <v/>
      </c>
      <c r="M135" s="14" t="n"/>
    </row>
    <row r="136">
      <c r="A136" s="14" t="n"/>
      <c r="B136" s="14" t="n"/>
      <c r="C136" s="4" t="n"/>
      <c r="D136" s="14" t="n"/>
      <c r="E136" s="15" t="n"/>
      <c r="F136" s="15" t="n"/>
      <c r="G136" s="15" t="n"/>
      <c r="H136" s="15" t="n"/>
      <c r="I136" s="15" t="n"/>
      <c r="J136" s="15" t="n"/>
      <c r="K136" s="15" t="n"/>
      <c r="L136" s="16">
        <f>IF(COUNTIF(E136:K136,"X")=0,"",COUNTIF(E136:K136,"X"))</f>
        <v/>
      </c>
      <c r="M136" s="14" t="n"/>
    </row>
    <row r="137">
      <c r="A137" s="14" t="n"/>
      <c r="B137" s="14" t="n"/>
      <c r="C137" s="4" t="n"/>
      <c r="D137" s="14" t="n"/>
      <c r="E137" s="15" t="n"/>
      <c r="F137" s="15" t="n"/>
      <c r="G137" s="15" t="n"/>
      <c r="H137" s="15" t="n"/>
      <c r="I137" s="15" t="n"/>
      <c r="J137" s="15" t="n"/>
      <c r="K137" s="15" t="n"/>
      <c r="L137" s="16">
        <f>IF(COUNTIF(E137:K137,"X")=0,"",COUNTIF(E137:K137,"X"))</f>
        <v/>
      </c>
      <c r="M137" s="14" t="n"/>
    </row>
    <row r="138">
      <c r="A138" s="14" t="n"/>
      <c r="B138" s="14" t="n"/>
      <c r="C138" s="4" t="n"/>
      <c r="D138" s="14" t="n"/>
      <c r="E138" s="15" t="n"/>
      <c r="F138" s="15" t="n"/>
      <c r="G138" s="15" t="n"/>
      <c r="H138" s="15" t="n"/>
      <c r="I138" s="15" t="n"/>
      <c r="J138" s="15" t="n"/>
      <c r="K138" s="15" t="n"/>
      <c r="L138" s="16">
        <f>IF(COUNTIF(E138:K138,"X")=0,"",COUNTIF(E138:K138,"X"))</f>
        <v/>
      </c>
      <c r="M138" s="14" t="n"/>
    </row>
    <row r="139">
      <c r="A139" s="14" t="n"/>
      <c r="B139" s="14" t="n"/>
      <c r="C139" s="4" t="n"/>
      <c r="D139" s="14" t="n"/>
      <c r="E139" s="15" t="n"/>
      <c r="F139" s="15" t="n"/>
      <c r="G139" s="15" t="n"/>
      <c r="H139" s="15" t="n"/>
      <c r="I139" s="15" t="n"/>
      <c r="J139" s="15" t="n"/>
      <c r="K139" s="15" t="n"/>
      <c r="L139" s="16">
        <f>IF(COUNTIF(E139:K139,"X")=0,"",COUNTIF(E139:K139,"X"))</f>
        <v/>
      </c>
      <c r="M139" s="14" t="n"/>
    </row>
    <row r="140">
      <c r="A140" s="14" t="n"/>
      <c r="B140" s="14" t="n"/>
      <c r="C140" s="4" t="n"/>
      <c r="D140" s="14" t="n"/>
      <c r="E140" s="15" t="n"/>
      <c r="F140" s="15" t="n"/>
      <c r="G140" s="15" t="n"/>
      <c r="H140" s="15" t="n"/>
      <c r="I140" s="15" t="n"/>
      <c r="J140" s="15" t="n"/>
      <c r="K140" s="15" t="n"/>
      <c r="L140" s="16">
        <f>IF(COUNTIF(E140:K140,"X")=0,"",COUNTIF(E140:K140,"X"))</f>
        <v/>
      </c>
      <c r="M140" s="14" t="n"/>
    </row>
    <row r="141">
      <c r="A141" s="14" t="n"/>
      <c r="B141" s="14" t="n"/>
      <c r="C141" s="4" t="n"/>
      <c r="D141" s="14" t="n"/>
      <c r="E141" s="15" t="n"/>
      <c r="F141" s="15" t="n"/>
      <c r="G141" s="15" t="n"/>
      <c r="H141" s="15" t="n"/>
      <c r="I141" s="15" t="n"/>
      <c r="J141" s="15" t="n"/>
      <c r="K141" s="15" t="n"/>
      <c r="L141" s="16">
        <f>IF(COUNTIF(E141:K141,"X")=0,"",COUNTIF(E141:K141,"X"))</f>
        <v/>
      </c>
      <c r="M141" s="14" t="n"/>
    </row>
    <row r="142">
      <c r="A142" s="14" t="n"/>
      <c r="B142" s="14" t="n"/>
      <c r="C142" s="4" t="n"/>
      <c r="D142" s="14" t="n"/>
      <c r="E142" s="15" t="n"/>
      <c r="F142" s="15" t="n"/>
      <c r="G142" s="15" t="n"/>
      <c r="H142" s="15" t="n"/>
      <c r="I142" s="15" t="n"/>
      <c r="J142" s="15" t="n"/>
      <c r="K142" s="15" t="n"/>
      <c r="L142" s="16">
        <f>IF(COUNTIF(E142:K142,"X")=0,"",COUNTIF(E142:K142,"X"))</f>
        <v/>
      </c>
      <c r="M142" s="14" t="n"/>
    </row>
    <row r="143">
      <c r="A143" s="14" t="n"/>
      <c r="B143" s="14" t="n"/>
      <c r="C143" s="4" t="n"/>
      <c r="D143" s="14" t="n"/>
      <c r="E143" s="15" t="n"/>
      <c r="F143" s="15" t="n"/>
      <c r="G143" s="15" t="n"/>
      <c r="H143" s="15" t="n"/>
      <c r="I143" s="15" t="n"/>
      <c r="J143" s="15" t="n"/>
      <c r="K143" s="15" t="n"/>
      <c r="L143" s="16">
        <f>IF(COUNTIF(E143:K143,"X")=0,"",COUNTIF(E143:K143,"X"))</f>
        <v/>
      </c>
      <c r="M143" s="14" t="n"/>
    </row>
    <row r="144">
      <c r="A144" s="14" t="n"/>
      <c r="B144" s="14" t="n"/>
      <c r="C144" s="4" t="n"/>
      <c r="D144" s="14" t="n"/>
      <c r="E144" s="15" t="n"/>
      <c r="F144" s="15" t="n"/>
      <c r="G144" s="15" t="n"/>
      <c r="H144" s="15" t="n"/>
      <c r="I144" s="15" t="n"/>
      <c r="J144" s="15" t="n"/>
      <c r="K144" s="15" t="n"/>
      <c r="L144" s="16">
        <f>IF(COUNTIF(E144:K144,"X")=0,"",COUNTIF(E144:K144,"X"))</f>
        <v/>
      </c>
      <c r="M144" s="14" t="n"/>
    </row>
    <row r="145">
      <c r="A145" s="14" t="n"/>
      <c r="B145" s="14" t="n"/>
      <c r="C145" s="4" t="n"/>
      <c r="D145" s="14" t="n"/>
      <c r="E145" s="15" t="n"/>
      <c r="F145" s="15" t="n"/>
      <c r="G145" s="15" t="n"/>
      <c r="H145" s="15" t="n"/>
      <c r="I145" s="15" t="n"/>
      <c r="J145" s="15" t="n"/>
      <c r="K145" s="15" t="n"/>
      <c r="L145" s="16">
        <f>IF(COUNTIF(E145:K145,"X")=0,"",COUNTIF(E145:K145,"X"))</f>
        <v/>
      </c>
      <c r="M145" s="14" t="n"/>
    </row>
    <row r="146">
      <c r="A146" s="14" t="n"/>
      <c r="B146" s="14" t="n"/>
      <c r="C146" s="4" t="n"/>
      <c r="D146" s="14" t="n"/>
      <c r="E146" s="15" t="n"/>
      <c r="F146" s="15" t="n"/>
      <c r="G146" s="15" t="n"/>
      <c r="H146" s="15" t="n"/>
      <c r="I146" s="15" t="n"/>
      <c r="J146" s="15" t="n"/>
      <c r="K146" s="15" t="n"/>
      <c r="L146" s="16">
        <f>IF(COUNTIF(E146:K146,"X")=0,"",COUNTIF(E146:K146,"X"))</f>
        <v/>
      </c>
      <c r="M146" s="14" t="n"/>
    </row>
    <row r="147">
      <c r="A147" s="14" t="n"/>
      <c r="B147" s="14" t="n"/>
      <c r="C147" s="4" t="n"/>
      <c r="D147" s="14" t="n"/>
      <c r="E147" s="15" t="n"/>
      <c r="F147" s="15" t="n"/>
      <c r="G147" s="15" t="n"/>
      <c r="H147" s="15" t="n"/>
      <c r="I147" s="15" t="n"/>
      <c r="J147" s="15" t="n"/>
      <c r="K147" s="15" t="n"/>
      <c r="L147" s="16">
        <f>IF(COUNTIF(E147:K147,"X")=0,"",COUNTIF(E147:K147,"X"))</f>
        <v/>
      </c>
      <c r="M147" s="14" t="n"/>
    </row>
    <row r="148">
      <c r="A148" s="14" t="n"/>
      <c r="B148" s="14" t="n"/>
      <c r="C148" s="4" t="n"/>
      <c r="D148" s="14" t="n"/>
      <c r="E148" s="15" t="n"/>
      <c r="F148" s="15" t="n"/>
      <c r="G148" s="15" t="n"/>
      <c r="H148" s="15" t="n"/>
      <c r="I148" s="15" t="n"/>
      <c r="J148" s="15" t="n"/>
      <c r="K148" s="15" t="n"/>
      <c r="L148" s="16">
        <f>IF(COUNTIF(E148:K148,"X")=0,"",COUNTIF(E148:K148,"X"))</f>
        <v/>
      </c>
      <c r="M148" s="14" t="n"/>
    </row>
    <row r="149">
      <c r="A149" s="14" t="n"/>
      <c r="B149" s="14" t="n"/>
      <c r="C149" s="4" t="n"/>
      <c r="D149" s="14" t="n"/>
      <c r="E149" s="15" t="n"/>
      <c r="F149" s="15" t="n"/>
      <c r="G149" s="15" t="n"/>
      <c r="H149" s="15" t="n"/>
      <c r="I149" s="15" t="n"/>
      <c r="J149" s="15" t="n"/>
      <c r="K149" s="15" t="n"/>
      <c r="L149" s="16">
        <f>IF(COUNTIF(E149:K149,"X")=0,"",COUNTIF(E149:K149,"X"))</f>
        <v/>
      </c>
      <c r="M149" s="14" t="n"/>
    </row>
    <row r="150">
      <c r="A150" s="14" t="n"/>
      <c r="B150" s="14" t="n"/>
      <c r="C150" s="4" t="n"/>
      <c r="D150" s="14" t="n"/>
      <c r="E150" s="15" t="n"/>
      <c r="F150" s="15" t="n"/>
      <c r="G150" s="15" t="n"/>
      <c r="H150" s="15" t="n"/>
      <c r="I150" s="15" t="n"/>
      <c r="J150" s="15" t="n"/>
      <c r="K150" s="15" t="n"/>
      <c r="L150" s="16">
        <f>IF(COUNTIF(E150:K150,"X")=0,"",COUNTIF(E150:K150,"X"))</f>
        <v/>
      </c>
      <c r="M150" s="14" t="n"/>
    </row>
    <row r="151">
      <c r="A151" s="14" t="n"/>
      <c r="B151" s="14" t="n"/>
      <c r="C151" s="4" t="n"/>
      <c r="D151" s="14" t="n"/>
      <c r="E151" s="15" t="n"/>
      <c r="F151" s="15" t="n"/>
      <c r="G151" s="15" t="n"/>
      <c r="H151" s="15" t="n"/>
      <c r="I151" s="15" t="n"/>
      <c r="J151" s="15" t="n"/>
      <c r="K151" s="15" t="n"/>
      <c r="L151" s="16">
        <f>IF(COUNTIF(E151:K151,"X")=0,"",COUNTIF(E151:K151,"X"))</f>
        <v/>
      </c>
      <c r="M151" s="14" t="n"/>
    </row>
  </sheetData>
  <dataValidations count="2">
    <dataValidation sqref="B2:B151" showDropDown="0" showInputMessage="0" showErrorMessage="0" allowBlank="1" type="list">
      <formula1>"Secretary and cash desk,Nurse,Doctor,Laboratory technician,Pharmacy and stock,Production,Toxicology team,Spiritual counsellor,Promoter,Admin"</formula1>
    </dataValidation>
    <dataValidation sqref="E2:K151" showDropDown="0" showInputMessage="0" showErrorMessage="0" allowBlank="1" type="list">
      <formula1>"X"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 ht="45" customHeight="1">
      <c r="A1" s="5" t="inlineStr">
        <is>
          <t>No.</t>
        </is>
      </c>
      <c r="B1" s="5" t="inlineStr">
        <is>
          <t>Criterion</t>
        </is>
      </c>
      <c r="C1" s="5" t="inlineStr">
        <is>
          <t>Target</t>
        </is>
      </c>
      <c r="D1" s="5" t="inlineStr">
        <is>
          <t>Current value</t>
        </is>
      </c>
      <c r="E1" s="5" t="inlineStr">
        <is>
          <t>Answer</t>
        </is>
      </c>
      <c r="F1" s="5" t="inlineStr">
        <is>
          <t>Comment</t>
        </is>
      </c>
    </row>
    <row r="2">
      <c r="A2" s="6" t="n">
        <v>1</v>
      </c>
      <c r="B2" s="6" t="inlineStr">
        <is>
          <t>At least [X] percent of the service staff are trained</t>
        </is>
      </c>
      <c r="C2" s="8" t="n"/>
      <c r="D2" s="8" t="n"/>
      <c r="E2" s="8" t="n"/>
      <c r="F2" s="8" t="n"/>
    </row>
    <row r="3">
      <c r="A3" s="6" t="n">
        <v>2</v>
      </c>
      <c r="B3" s="6" t="inlineStr">
        <is>
          <t>At least [X] percent of the service staff use the system every day</t>
        </is>
      </c>
      <c r="C3" s="8" t="n"/>
      <c r="D3" s="8" t="n"/>
      <c r="E3" s="8" t="n"/>
      <c r="F3" s="8" t="n"/>
    </row>
    <row r="4">
      <c r="A4" s="6" t="n">
        <v>3</v>
      </c>
      <c r="B4" s="6" t="inlineStr">
        <is>
          <t>Records still on paper only are at most [X] percent of the weekly records</t>
        </is>
      </c>
      <c r="C4" s="8" t="n"/>
      <c r="D4" s="8" t="n"/>
      <c r="E4" s="8" t="n"/>
      <c r="F4" s="8" t="n"/>
    </row>
    <row r="5">
      <c r="A5" s="6" t="n">
        <v>4</v>
      </c>
      <c r="B5" s="6" t="inlineStr">
        <is>
          <t>Sales or entries entered twice are at most [X] per week</t>
        </is>
      </c>
      <c r="C5" s="8" t="n"/>
      <c r="D5" s="8" t="n"/>
      <c r="E5" s="8" t="n"/>
      <c r="F5" s="8" t="n"/>
    </row>
    <row r="6">
      <c r="A6" s="6" t="n">
        <v>5</v>
      </c>
      <c r="B6" s="6" t="inlineStr">
        <is>
          <t>No critical issue is open (no data loss, no wrong money total)</t>
        </is>
      </c>
      <c r="C6" s="8" t="n"/>
      <c r="D6" s="8" t="n"/>
      <c r="E6" s="8" t="n"/>
      <c r="F6" s="8" t="n"/>
    </row>
    <row r="7">
      <c r="A7" s="6" t="n">
        <v>6</v>
      </c>
      <c r="B7" s="6" t="inlineStr">
        <is>
          <t>Average time of a standard task is at most [X] minutes</t>
        </is>
      </c>
      <c r="C7" s="8" t="n"/>
      <c r="D7" s="8" t="n"/>
      <c r="E7" s="8" t="n"/>
      <c r="F7" s="8" t="n"/>
    </row>
    <row r="8">
      <c r="A8" s="6" t="n">
        <v>7</v>
      </c>
      <c r="B8" s="6" t="inlineStr">
        <is>
          <t>Average satisfaction is at least [X] out of 5</t>
        </is>
      </c>
      <c r="C8" s="8" t="n"/>
      <c r="D8" s="8" t="n"/>
      <c r="E8" s="8" t="n"/>
      <c r="F8" s="8" t="n"/>
    </row>
    <row r="9">
      <c r="A9" s="6" t="n">
        <v>8</v>
      </c>
      <c r="B9" s="6" t="inlineStr">
        <is>
          <t>The outage drill was done and the outage sheet is in place</t>
        </is>
      </c>
      <c r="C9" s="8" t="n"/>
      <c r="D9" s="8" t="n"/>
      <c r="E9" s="8" t="n"/>
      <c r="F9" s="8" t="n"/>
    </row>
    <row r="10">
      <c r="A10" s="6" t="n">
        <v>9</v>
      </c>
      <c r="B10" s="6" t="inlineStr">
        <is>
          <t>Cash closing done every working day for [X] days, no unexplained difference (reception)</t>
        </is>
      </c>
      <c r="C10" s="8" t="n"/>
      <c r="D10" s="8" t="n"/>
      <c r="E10" s="8" t="n"/>
      <c r="F10" s="8" t="n"/>
    </row>
    <row r="11">
      <c r="A11" s="6" t="n">
        <v>10</v>
      </c>
      <c r="B11" s="6" t="inlineStr">
        <is>
          <t>Support person and deputy champion confirmed for the next step</t>
        </is>
      </c>
      <c r="C11" s="8" t="n"/>
      <c r="D11" s="8" t="n"/>
      <c r="E11" s="8" t="n"/>
      <c r="F11" s="8" t="n"/>
    </row>
    <row r="13">
      <c r="B13" s="3" t="inlineStr">
        <is>
          <t>Overall decision</t>
        </is>
      </c>
      <c r="E13" s="3">
        <f>IF(COUNTIF(E2:E11,"Yes")=10,"GO",IF(COUNTIF(E2:E11,"No")&gt;0,"NO-GO","NOT YET"))</f>
        <v/>
      </c>
    </row>
    <row r="14">
      <c r="B14" t="inlineStr">
        <is>
          <t>Rule: GO only if every line is Yes. One No gives NO-GO. Otherwise NOT YET.</t>
        </is>
      </c>
    </row>
    <row r="15">
      <c r="B15" t="inlineStr">
        <is>
          <t>Service or step being decided: [SERVICE]    Date: [DATE]    Decided by: [NAME]</t>
        </is>
      </c>
    </row>
  </sheetData>
  <dataValidations count="1">
    <dataValidation sqref="E2 E3 E4 E5 E6 E7 E8 E9 E10 E11" showDropDown="0" showInputMessage="0" showErrorMessage="0" allowBlank="1" type="list">
      <formula1>"Yes,No,Not yet"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2026-10-31T13:46:41Z</dcterms:created>
  <dcterms:modified xmlns:dcterms="http://purl.org/dc/terms/" xmlns:xsi="http://www.w3.org/2001/XMLSchema-instance" xsi:type="dcterms:W3CDTF">2026-10-31T13:46:42Z</dcterms:modified>
</cp:coreProperties>
</file>